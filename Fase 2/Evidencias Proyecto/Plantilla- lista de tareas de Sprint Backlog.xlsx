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rint Backlog" sheetId="1" r:id="rId4"/>
    <sheet state="visible" name="Instructivo" sheetId="2" r:id="rId5"/>
  </sheets>
  <definedNames/>
  <calcPr/>
</workbook>
</file>

<file path=xl/sharedStrings.xml><?xml version="1.0" encoding="utf-8"?>
<sst xmlns="http://schemas.openxmlformats.org/spreadsheetml/2006/main" count="442" uniqueCount="200">
  <si>
    <t>Metodologías ágiles: Lista de tareas de la iteración</t>
  </si>
  <si>
    <t>(Sprint Backlog)</t>
  </si>
  <si>
    <t>Elaborado por: pmoinformatica.com</t>
  </si>
  <si>
    <t>Semana 1</t>
  </si>
  <si>
    <t>Semana 2</t>
  </si>
  <si>
    <t>Semana 3</t>
  </si>
  <si>
    <t>Sem. 4</t>
  </si>
  <si>
    <t>Semana 5</t>
  </si>
  <si>
    <t>Semana 6</t>
  </si>
  <si>
    <t>Semana 7</t>
  </si>
  <si>
    <t>Semana 8</t>
  </si>
  <si>
    <t>Semana 9</t>
  </si>
  <si>
    <t>Semana 10</t>
  </si>
  <si>
    <t>Semana 11</t>
  </si>
  <si>
    <t>Total</t>
  </si>
  <si>
    <t>Identificador (ID) de item de product backlog</t>
  </si>
  <si>
    <t>Enunciado del item de Product Backlog</t>
  </si>
  <si>
    <t>Tarea</t>
  </si>
  <si>
    <t>Dueño / Voluntario</t>
  </si>
  <si>
    <t>Estatus</t>
  </si>
  <si>
    <t>Horas estimadas totales</t>
  </si>
  <si>
    <t>Cons.</t>
  </si>
  <si>
    <t>Rest.</t>
  </si>
  <si>
    <t>H-01</t>
  </si>
  <si>
    <t>Como usuario con una lesión, quiero buscar ejercicios específicos para mi tipo de lesión, para seguir un plan de recuperación adecuado.</t>
  </si>
  <si>
    <t>KINE100 - Definir criterios de búsqueda por tipo de lesión (categorías/etiquetas).</t>
  </si>
  <si>
    <t>VOLUNTARIO</t>
  </si>
  <si>
    <t>PENDIENTE</t>
  </si>
  <si>
    <t>KINE101 - Crear UI del buscador (input, botón buscar, vista resultados).</t>
  </si>
  <si>
    <t>KINE102 - Implementar consulta/endpoint a BD para filtrar ejercicios por lesión.</t>
  </si>
  <si>
    <t>KINE103 - Integrar filtros extra y ordenamiento (dificultad/equipo/popularidad).</t>
  </si>
  <si>
    <t>H-02</t>
  </si>
  <si>
    <t>Como kinesiólogo, quiero comunicarme directamente con los usuarios a través de un chat, para resolver dudas y dar seguimiento personalizado.</t>
  </si>
  <si>
    <t>KINE180 - Diseñar interfaz de chat para kinesiólogo (lista pacientes + conversación).</t>
  </si>
  <si>
    <t>KINE181 - Implementar envío de mensajes desde kinesiólogo a paciente.</t>
  </si>
  <si>
    <t>KINE182 - Guardar historial de mensajes en BD con relación kine–paciente.</t>
  </si>
  <si>
    <t>KINE183 - Implementar estados de mensaje (enviado/recibido/leído).</t>
  </si>
  <si>
    <t>KINE184 - Pruebas de conversación completa y manejo de errores de chat.</t>
  </si>
  <si>
    <t>H-03</t>
  </si>
  <si>
    <t>Como paciente, quiero comunicarme directamente con los kinesiologos a través de un chat, para resolver dudas, obtener ayuda, entre otros.</t>
  </si>
  <si>
    <t>KINE300 - Diseñar interfaz de chat para paciente (lista kines + conversación).</t>
  </si>
  <si>
    <t>KINE301 - Implementar recepción de mensajes en tiempo real (realtime/sockets).</t>
  </si>
  <si>
    <t>KINE302 - Implementar envío de mensajes del paciente al kinesiólogo.</t>
  </si>
  <si>
    <t>KINE303 - Sincronizar historial al abrir chat y validar conexión.</t>
  </si>
  <si>
    <t>H-04</t>
  </si>
  <si>
    <t>Como nuevo usuario, quiero registrarme usando mi correo, cuenta Google o Facebook, para iniciar sesión rápida y fácilmente.</t>
  </si>
  <si>
    <t>KINE400 - Crear formulario de registro paciente con validaciones.</t>
  </si>
  <si>
    <t>KINE401 - Implementar registro con Google/Facebook (OAuth).</t>
  </si>
  <si>
    <t>KINE402 - Guardar usuario en BD y asignar rol por defecto.</t>
  </si>
  <si>
    <t>KINE403 - Flujo post-registro: onboarding + verificación de correo.</t>
  </si>
  <si>
    <t>H-05</t>
  </si>
  <si>
    <t>Como usuario, quiero consultar un historial de los ejercicios que he realizado, para hacer seguimiento de mi progreso.</t>
  </si>
  <si>
    <t>KINE500 - Diseñar modelo/tabla para registro de ejercicios realizados.</t>
  </si>
  <si>
    <t>KINE501 - Crear vista de historial de ejercicios por usuario.</t>
  </si>
  <si>
    <t>KINE502 - Implementar consulta a BD por usuario y rango de fechas.</t>
  </si>
  <si>
    <t>KINE503 - Mostrar detalle por ejercicio (fecha, duración, repeticiones).</t>
  </si>
  <si>
    <t>H-06</t>
  </si>
  <si>
    <t>Como usuario, quiero recuperar mi contraseña en caso de olvidarla, para mantener acceso seguro a mi cuenta.</t>
  </si>
  <si>
    <t>KINE600 - Diseñar pantalla “Olvidé mi contraseña”.</t>
  </si>
  <si>
    <t>KINE601 - Implementar envío de correo con link/código de recuperación.</t>
  </si>
  <si>
    <t>KINE602 - Crear pantalla de cambio de contraseña segura.</t>
  </si>
  <si>
    <t>KINE603 - Validar token/código y mostrar mensajes claros de éxito/error.</t>
  </si>
  <si>
    <t>H-07</t>
  </si>
  <si>
    <t>Como usuario, quiero recibir notificaciones de nuevos mensajes de mi kinesiólogo, para no perder información importante.</t>
  </si>
  <si>
    <t>KINE700 - Configurar notificaciones in-app/push para mensajes nuevos.</t>
  </si>
  <si>
    <t>KINE701 - Crear badge/contador de mensajes sin leer.</t>
  </si>
  <si>
    <t>KINE702 - Integrar trigger de notificación al recibir mensajes realtime.</t>
  </si>
  <si>
    <t>KINE703 - Preferencias del usuario (silenciar/activar) + pruebas finales.</t>
  </si>
  <si>
    <t>H-08</t>
  </si>
  <si>
    <t>Como usuario, quiero acceder a videos de ejemplo de cada ejercicio, para realizarlos correctamente y evitar lesiones.</t>
  </si>
  <si>
    <t>KINE800 - Asociar video (URL/archivo) a cada ejercicio en BD.</t>
  </si>
  <si>
    <t>KINE801 - Crear vista detalle de ejercicio con reproductor.</t>
  </si>
  <si>
    <t>KINE802 - Implementar controles básicos (play/pause, pantalla completa).</t>
  </si>
  <si>
    <t>KINE803 - Manejo de carga/errores y optimización de reproducción.</t>
  </si>
  <si>
    <t>H-09</t>
  </si>
  <si>
    <t>Como usuario, quiero recibir recordatorios de mis sesiones y rutinas, para mantener constancia en mi recuperación.</t>
  </si>
  <si>
    <t>KINE900 - Definir reglas de recordatorios según rutina/sesión.</t>
  </si>
  <si>
    <t>KINE901 - Implementar scheduler/cron para enviar recordatorios.</t>
  </si>
  <si>
    <t>KINE902 - Crear UI para activar/desactivar recordatorios por usuario.</t>
  </si>
  <si>
    <t>KINE903 - Registrar envíos y confirmar recepción/lectura.</t>
  </si>
  <si>
    <t>H-10</t>
  </si>
  <si>
    <t>Como usuario, quiero filtrar los ejercicios según su nivel de dificultad, para adaptar la rutina a mi capacidad física.</t>
  </si>
  <si>
    <t>KINE1000 - Añadir atributo “dificultad” al catálogo de ejercicios.</t>
  </si>
  <si>
    <t>KINE1001 - Crear filtro UI de dificultad (principiante/intermedio/avanzado).</t>
  </si>
  <si>
    <t>KINE1002 - Implementar filtrado en backend/consulta BD.</t>
  </si>
  <si>
    <t>KINE1003 - Probar filtros combinados y ajustar UX.</t>
  </si>
  <si>
    <t>H-11</t>
  </si>
  <si>
    <t>Como usuario, quiero recibir notificaciones cuando interactuo con la aplicacion, esto para saber si se ejecuto correctamente o no</t>
  </si>
  <si>
    <t>KINE1100 - Definir tipos de popup (éxito, error, confirmación).</t>
  </si>
  <si>
    <t>KINE1101 - Implementar componente reusable de popup/alerta.</t>
  </si>
  <si>
    <t>KINE1102 - Conectar popups a acciones clave (agendar, guardar, enviar chat).</t>
  </si>
  <si>
    <t>KINE1103 - Ajustar estilos, tiempos y accesibilidad.</t>
  </si>
  <si>
    <t>H-12</t>
  </si>
  <si>
    <t>Como usuario, quiero utilizar una aplicacion sencilla y bonita de usar, con la finalidad de que sea entendible que se hace en la aplicacion.</t>
  </si>
  <si>
    <t>KINE1200 - Rediseñar navegación principal (tabs/menú) más clara.</t>
  </si>
  <si>
    <t>KINE1201 - Unificar paleta de colores, iconos y tipografías.</t>
  </si>
  <si>
    <t>KINE1202 - Mejorar layouts base (home, ejercicios, perfil) con estilo limpio.</t>
  </si>
  <si>
    <t>KINE1203 - Test rápido de usabilidad y correcciones finales.</t>
  </si>
  <si>
    <t>H-13</t>
  </si>
  <si>
    <t>Como paciente, quiero poder ver un historial de todos los ejercicios que he completado y cuándo lo hice, para medir mi progreso, mantener la motivación y tener un registro de mi cumplimiento.</t>
  </si>
  <si>
    <t>KINE1300 - Registrar evento al completar ejercicio (timestamp + datos).</t>
  </si>
  <si>
    <t>KINE1301 - Crear sección “Mis ejercicios completados”.</t>
  </si>
  <si>
    <t>KINE1302 - Mostrar métricas de cumplimiento (rachas, % semanal).</t>
  </si>
  <si>
    <t>KINE1303 - Permitir ver detalle completo de cada registro.</t>
  </si>
  <si>
    <t>H-14</t>
  </si>
  <si>
    <t>Como kinesiólogo, quiero poder certificarme en la aplicacion, con la finalidad de poder utilizar las funciones de los kinesiologos</t>
  </si>
  <si>
    <t>KINE1400 - Crear formulario de perfil profesional del kinesiólogo.</t>
  </si>
  <si>
    <t>KINE1401 - Implementar carga de credenciales/documentos de verificación.</t>
  </si>
  <si>
    <t>KINE1402 - Guardar estado verificado/no verificado en BD.</t>
  </si>
  <si>
    <t>KINE1403 - Mostrar badge “kinesiólogo verificado” en perfil público.</t>
  </si>
  <si>
    <t>H-15</t>
  </si>
  <si>
    <t>Como usuario, quiero poder ver todos los ejercicios en una pantalla, con la finalidad de poder encontrar facilmente los ejercicios.</t>
  </si>
  <si>
    <t>KINE1500 - Diseñar pantalla catálogo (cards/lista de ejercicios).</t>
  </si>
  <si>
    <t>KINE1501 - Implementar paginación o carga infinita.</t>
  </si>
  <si>
    <t>KINE1502 - Conectar catálogo con búsqueda, filtros y videos.</t>
  </si>
  <si>
    <t>KINE1503 - Optimizar rendimiento del listado (lazy load imágenes).</t>
  </si>
  <si>
    <t>H-16</t>
  </si>
  <si>
    <t>Como usuario registrado, quiero poder iniciar sesión usando mi correo y contraseña, para acceder a mi área privada de la aplicación.</t>
  </si>
  <si>
    <t>KINE1600 - Crear formulario de login con validaciones.</t>
  </si>
  <si>
    <t>KINE1601 - Implementar autenticación contra backend/BD.</t>
  </si>
  <si>
    <t>KINE1602 - Manejar sesión/token y persistencia segura.</t>
  </si>
  <si>
    <t>KINE1603 - Implementar logout y protección de rutas privadas.</t>
  </si>
  <si>
    <t>H-17</t>
  </si>
  <si>
    <t>Como usuario que olvidó su contraseña, quiero un proceso claro de restablecimiento para poder recuperar el acceso a mi cuenta de manera rápida y segura.</t>
  </si>
  <si>
    <t>KINE1700 - Diseñar flujo completo recuperación (solicitud &gt; correo &gt; cambio).</t>
  </si>
  <si>
    <t>KINE1701 - Enviar correo con token seguro y expiración.</t>
  </si>
  <si>
    <t>KINE1702 - Validar token y permitir actualizar contraseña.</t>
  </si>
  <si>
    <t>KINE1703 - Mensajes claros para errores (token vencido/correo no registrado).</t>
  </si>
  <si>
    <t>H-18</t>
  </si>
  <si>
    <t>Como paciente, quiero buscar profesionales con sus descripciones, para encontrar la opción que mejor se adapte a mis necesidades.</t>
  </si>
  <si>
    <t>KINE1800 - Diseñar pantalla de listado de kinesiólogos con cards.</t>
  </si>
  <si>
    <t>KINE1801 - Implementar filtros (especialidad/ubicación/valoración).</t>
  </si>
  <si>
    <t>KINE1802 - Conectar listado a BD con paginación.</t>
  </si>
  <si>
    <t>KINE1803 - Crear vista detalle de profesional + botón “Agendar”.</t>
  </si>
  <si>
    <t>H-19</t>
  </si>
  <si>
    <t>Como kinesiologo no verificado, quiero poder cargar un documento con el cual poder verificarme en la aplicación"</t>
  </si>
  <si>
    <t>KINE1900 - Crear UI para carga de documentos (PDF/imagen).</t>
  </si>
  <si>
    <t>KINE1901 - Integrar Supabase Storage para guardar archivos.</t>
  </si>
  <si>
    <t>KINE1902 - Guardar metadata en BD y dejar estado “pendiente”.</t>
  </si>
  <si>
    <t>KINE1903 - Notificar al admin y al kinesiólogo del resultado.</t>
  </si>
  <si>
    <t>H-20</t>
  </si>
  <si>
    <t>Como paciente, quiero poder ver el calendario de mi profesional y agendar una sesión en el horario disponible de mi preferencia, para poder tener una cita medica con el.</t>
  </si>
  <si>
    <t>KINE2000 - Crear vista calendario con horarios disponibles.</t>
  </si>
  <si>
    <t>KINE2001 - Implementar lógica de reserva online/presencial.</t>
  </si>
  <si>
    <t>KINE2002 - Confirmación de cita + notificación a paciente y kine.</t>
  </si>
  <si>
    <t>KINE2003 - Manejo de cambios/cancelaciones sin solapamientos.</t>
  </si>
  <si>
    <t>H-21</t>
  </si>
  <si>
    <t>Como kinesiólogo, quiero poder configurar de forma rápida y flexible mi disponibilidad horaria para que los pacientes solo puedan agendar sesiones en los momentos que me sean convenientes.</t>
  </si>
  <si>
    <t>KINE2100 - Crear interfaz para configurar disponibilidad semanal.</t>
  </si>
  <si>
    <t>KINE2101 - Guardar bloques horarios en BD.</t>
  </si>
  <si>
    <t>KINE2102 - Validar solapamientos y reglas de agenda.</t>
  </si>
  <si>
    <t>KINE2103 - Exponer disponibilidad a módulo de agendamiento.</t>
  </si>
  <si>
    <t>H-22</t>
  </si>
  <si>
    <t>Como administrador, quiero poder ingresar a una página donde pueda ver los usuarios y sus datos.</t>
  </si>
  <si>
    <t>KINE2200 - Diseñar layout del panel administrador.</t>
  </si>
  <si>
    <t>KINE2201 - Listar usuarios con búsqueda y filtros.</t>
  </si>
  <si>
    <t>KINE2202 - Ver detalle/editar estado de usuario (rol, premium, bloqueado).</t>
  </si>
  <si>
    <t>KINE2203 - Reporte básico de actividad (usuarios, citas, rutinas).</t>
  </si>
  <si>
    <t>H-23</t>
  </si>
  <si>
    <t>Como administrador, quiero tener un panel de solicitudes para revisar, aprobar o rechazar los documentos de verificación de los kinesiólogos.</t>
  </si>
  <si>
    <t>KINE2300 - Listar solicitudes de verificación de kinesiólogos.</t>
  </si>
  <si>
    <t>KINE2301 - Visualizar documentos adjuntos desde Supabase.</t>
  </si>
  <si>
    <t>KINE2302 - Acciones aprobar/rechazar con comentario.</t>
  </si>
  <si>
    <t>KINE2303 - Actualizar estado del kine y enviar notificación.</t>
  </si>
  <si>
    <t>H-24</t>
  </si>
  <si>
    <t>Implementar el registro de rutinas completadas y el tiempo dedicado.</t>
  </si>
  <si>
    <t>KINE2400 - Crear servicio/endpoint para registrar rutina completada.</t>
  </si>
  <si>
    <t>KINE2401 - Guardar duración/tiempo dedicado en BD.</t>
  </si>
  <si>
    <t>KINE2402 - Mostrar resumen de rutina completada al usuario.</t>
  </si>
  <si>
    <t>H-25</t>
  </si>
  <si>
    <t>Como kinesiólogo, quiero visualizar el progreso, métricas clave y la adherencia de mis pacientes, para evaluar la efectividad de la terapia.</t>
  </si>
  <si>
    <t>KINE2500 - Definir y documentar las métricas clave de progreso y adherencia por paciente (frecuencia, cumplimiento, dolor, rango de movimiento, etc.).</t>
  </si>
  <si>
    <t>KINE2501 - Implementar en backend los endpoints y consultas a la base de datos para calcular y exponer dichas métricas por paciente.</t>
  </si>
  <si>
    <t>KINE2502 - Diseñar e implementar la interfaz de dashboard para el kinesiólogo (gráficos, tablas y filtros por paciente y rango de fechas).</t>
  </si>
  <si>
    <t>KINE2503 - Probar el dashboard con datos de ejemplo, validar la interpretación con un kinesiólogo y ajustar visualizaciones y textos.</t>
  </si>
  <si>
    <t>H-26</t>
  </si>
  <si>
    <t>Como kinesiólogo, quiero poder suscribirme a un plan Premium para aumentar mi visibilidad, aparecer primero en las búsquedas y obtener más pacientes.</t>
  </si>
  <si>
    <t>KINE2600 - Definir estructura de planes (Free/Premium), beneficios y reglas de negocio asociadas (prioridad en búsqueda, distintivos, límites).</t>
  </si>
  <si>
    <t>KINE2601 - Implementar el flujo de suscripción al plan Premium (pantalla de selección, confirmación y registro del estado en la base de datos).</t>
  </si>
  <si>
    <t>KINE2602 - Ajustar el algoritmo de ordenamiento de búsquedas para que las cuentas Premium aparezcan primero y se destaquen visualmente.</t>
  </si>
  <si>
    <t>KINE2603 - Diseñar e implementar la interfaz de “Perfil Premium” y la pantalla de beneficios visibles para kinesiólogo y pacientes.</t>
  </si>
  <si>
    <t>H-27</t>
  </si>
  <si>
    <t>Como usuario (paciente o kinesiólogo), quiero poder filtrar el catálogo de ejercicios por parte del cuerpo a trabajar.</t>
  </si>
  <si>
    <t>KINE2700 - Actualizar el modelo de datos y la base de datos para etiquetar los ejercicios por parte del cuerpo (hombro, rodilla, tobillo, columna, etc.).</t>
  </si>
  <si>
    <t>KINE2701 - Implementar en backend los endpoints y consultas que soporten filtros por parte del cuerpo en el catálogo de ejercicios.</t>
  </si>
  <si>
    <t>KINE2702 - Crear los componentes de filtro en la interfaz (select, chips o checkboxes), conectarlos al backend y probar que el catálogo responda correctamente.</t>
  </si>
  <si>
    <t>Lista de tareas de la iteración (Sprint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</si>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</sst>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x14ac="http://schemas.microsoft.com/office/spreadsheetml/2009/9/ac" xmlns:mc="http://schemas.openxmlformats.org/markup-compatibility/2006">
  <fonts count="8">
    <font>
      <sz val="11.0"/>
      <color theme="1"/>
      <name val="Calibri"/>
      <scheme val="minor"/>
    </font>
    <font>
      <b/>
      <sz val="22.0"/>
      <color theme="1"/>
      <name val="Calibri"/>
    </font>
    <font/>
    <font>
      <sz val="11.0"/>
      <color theme="1"/>
      <name val="Calibri"/>
    </font>
    <font>
      <b/>
      <sz val="16.0"/>
      <color rgb="FF1F497D"/>
      <name val="Calibri"/>
    </font>
    <font>
      <sz val="11.0"/>
      <color rgb="FFFFFFFF"/>
      <name val="Calibri"/>
    </font>
    <font>
      <sz val="11.0"/>
      <color theme="0"/>
      <name val="Calibri"/>
    </font>
    <font>
      <color theme="1"/>
      <name val="Calibri"/>
      <scheme val="minor"/>
    </font>
  </fonts>
  <fills count="7">
    <fill>
      <patternFill patternType="none"/>
    </fill>
    <fill>
      <patternFill patternType="lightGray"/>
    </fill>
    <fill>
      <patternFill patternType="solid">
        <fgColor theme="0"/>
        <bgColor theme="0"/>
      </patternFill>
    </fill>
    <fill>
      <patternFill patternType="solid">
        <fgColor rgb="FF1F497D"/>
        <bgColor rgb="FF1F497D"/>
      </patternFill>
    </fill>
    <fill>
      <patternFill patternType="solid">
        <fgColor rgb="FFFFFFFF"/>
        <bgColor rgb="FFFFFFFF"/>
      </patternFill>
    </fill>
    <fill>
      <patternFill patternType="solid">
        <fgColor rgb="FFD6E3BC"/>
        <bgColor rgb="FFD6E3BC"/>
      </patternFill>
    </fill>
    <fill>
      <patternFill patternType="solid">
        <fgColor rgb="FFB8CCE4"/>
        <bgColor rgb="FFB8CCE4"/>
      </patternFill>
    </fill>
  </fills>
  <borders count="15">
    <border/>
    <border>
      <left/>
      <top/>
      <bottom/>
    </border>
    <border>
      <top/>
      <bottom/>
    </border>
    <border>
      <right/>
      <top/>
      <bottom/>
    </border>
    <border>
      <left/>
      <right/>
      <top/>
      <bottom/>
    </border>
    <border>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right/>
      <top/>
    </border>
    <border>
      <left/>
      <right/>
      <bottom/>
    </border>
    <border>
      <left/>
      <right/>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shrinkToFit="0" wrapText="1"/>
    </xf>
    <xf borderId="2" fillId="0" fontId="2" numFmtId="0" xfId="0" applyBorder="1" applyFont="1"/>
    <xf borderId="3" fillId="0" fontId="2" numFmtId="0" xfId="0" applyBorder="1" applyFont="1"/>
    <xf borderId="4" fillId="2" fontId="3" numFmtId="0" xfId="0" applyAlignment="1" applyBorder="1" applyFont="1">
      <alignment shrinkToFit="0" wrapText="1"/>
    </xf>
    <xf borderId="1" fillId="2" fontId="4" numFmtId="0" xfId="0" applyAlignment="1" applyBorder="1" applyFont="1">
      <alignment horizontal="center" shrinkToFit="0" wrapText="1"/>
    </xf>
    <xf borderId="4" fillId="2" fontId="3" numFmtId="0" xfId="0" applyAlignment="1" applyBorder="1" applyFont="1">
      <alignment horizontal="left" shrinkToFit="0" wrapText="1"/>
    </xf>
    <xf borderId="5" fillId="3" fontId="5" numFmtId="0" xfId="0" applyAlignment="1" applyBorder="1" applyFill="1" applyFont="1">
      <alignment horizontal="center" shrinkToFit="0" wrapText="1"/>
    </xf>
    <xf borderId="6" fillId="0" fontId="2" numFmtId="0" xfId="0" applyBorder="1" applyFont="1"/>
    <xf borderId="7" fillId="3" fontId="3" numFmtId="0" xfId="0" applyAlignment="1" applyBorder="1" applyFont="1">
      <alignment shrinkToFit="0" wrapText="1"/>
    </xf>
    <xf borderId="8" fillId="3" fontId="5" numFmtId="0" xfId="0" applyAlignment="1" applyBorder="1" applyFont="1">
      <alignment horizontal="center" shrinkToFit="0" wrapText="1"/>
    </xf>
    <xf borderId="7" fillId="3" fontId="6" numFmtId="0" xfId="0" applyAlignment="1" applyBorder="1" applyFont="1">
      <alignment horizontal="center" shrinkToFit="0" vertical="center" wrapText="1"/>
    </xf>
    <xf borderId="7" fillId="3" fontId="5" numFmtId="0" xfId="0" applyAlignment="1" applyBorder="1" applyFont="1">
      <alignment horizontal="left" shrinkToFit="0" wrapText="1"/>
    </xf>
    <xf borderId="7" fillId="3" fontId="5" numFmtId="0" xfId="0" applyAlignment="1" applyBorder="1" applyFont="1">
      <alignment horizontal="center" shrinkToFit="0" wrapText="1"/>
    </xf>
    <xf borderId="9" fillId="0" fontId="3" numFmtId="0" xfId="0" applyAlignment="1" applyBorder="1" applyFont="1">
      <alignment horizontal="center" readingOrder="0" shrinkToFit="0" vertical="center" wrapText="1"/>
    </xf>
    <xf borderId="9" fillId="0" fontId="3" numFmtId="0" xfId="0" applyAlignment="1" applyBorder="1" applyFont="1">
      <alignment horizontal="left" shrinkToFit="0" vertical="center" wrapText="1"/>
    </xf>
    <xf borderId="7" fillId="0" fontId="3" numFmtId="0" xfId="0" applyBorder="1" applyFont="1"/>
    <xf borderId="7" fillId="0" fontId="3" numFmtId="0" xfId="0" applyAlignment="1" applyBorder="1" applyFont="1">
      <alignment horizontal="center" shrinkToFit="0" vertical="center" wrapText="1"/>
    </xf>
    <xf borderId="7" fillId="4" fontId="3" numFmtId="0" xfId="0" applyAlignment="1" applyBorder="1" applyFill="1" applyFont="1">
      <alignment horizontal="left" shrinkToFit="0" vertical="top" wrapText="1"/>
    </xf>
    <xf borderId="7" fillId="4" fontId="3" numFmtId="0" xfId="0" applyAlignment="1" applyBorder="1" applyFont="1">
      <alignment shrinkToFit="0" vertical="top" wrapText="1"/>
    </xf>
    <xf borderId="7" fillId="4" fontId="3" numFmtId="0" xfId="0" applyAlignment="1" applyBorder="1" applyFont="1">
      <alignment horizontal="right" shrinkToFit="0" vertical="top" wrapText="1"/>
    </xf>
    <xf borderId="7" fillId="5" fontId="3" numFmtId="0" xfId="0" applyAlignment="1" applyBorder="1" applyFill="1" applyFont="1">
      <alignment shrinkToFit="0" vertical="top" wrapText="1"/>
    </xf>
    <xf borderId="7" fillId="6" fontId="3" numFmtId="0" xfId="0" applyAlignment="1" applyBorder="1" applyFill="1" applyFont="1">
      <alignment horizontal="right" shrinkToFit="0" vertical="top" wrapText="1"/>
    </xf>
    <xf borderId="10" fillId="0" fontId="2" numFmtId="0" xfId="0" applyBorder="1" applyFont="1"/>
    <xf borderId="11" fillId="0" fontId="2" numFmtId="0" xfId="0" applyBorder="1" applyFont="1"/>
    <xf borderId="7" fillId="0" fontId="3" numFmtId="0" xfId="0" applyAlignment="1" applyBorder="1" applyFont="1">
      <alignment readingOrder="0"/>
    </xf>
    <xf borderId="7" fillId="2" fontId="3" numFmtId="0" xfId="0" applyAlignment="1" applyBorder="1" applyFont="1">
      <alignment horizontal="left" shrinkToFit="0" vertical="top" wrapText="1"/>
    </xf>
    <xf borderId="7" fillId="2" fontId="3" numFmtId="0" xfId="0" applyAlignment="1" applyBorder="1" applyFont="1">
      <alignment horizontal="right" shrinkToFit="0" vertical="top" wrapText="1"/>
    </xf>
    <xf borderId="7" fillId="5" fontId="3" numFmtId="0" xfId="0" applyAlignment="1" applyBorder="1" applyFont="1">
      <alignment horizontal="right" shrinkToFit="0" vertical="top" wrapText="1"/>
    </xf>
    <xf borderId="9" fillId="0" fontId="3" numFmtId="0" xfId="0" applyAlignment="1" applyBorder="1" applyFont="1">
      <alignment shrinkToFit="0" wrapText="1"/>
    </xf>
    <xf borderId="7" fillId="0" fontId="7" numFmtId="0" xfId="0" applyAlignment="1" applyBorder="1" applyFont="1">
      <alignment readingOrder="0"/>
    </xf>
    <xf borderId="7" fillId="2" fontId="3" numFmtId="0" xfId="0" applyAlignment="1" applyBorder="1" applyFont="1">
      <alignment horizontal="right" readingOrder="0" shrinkToFit="0" vertical="top" wrapText="1"/>
    </xf>
    <xf borderId="7" fillId="4" fontId="3" numFmtId="0" xfId="0" applyAlignment="1" applyBorder="1" applyFont="1">
      <alignment readingOrder="0" shrinkToFit="0" vertical="top" wrapText="1"/>
    </xf>
    <xf borderId="12" fillId="2" fontId="3" numFmtId="0" xfId="0" applyAlignment="1" applyBorder="1" applyFont="1">
      <alignment shrinkToFit="0" wrapText="1"/>
    </xf>
    <xf borderId="13" fillId="2" fontId="3" numFmtId="0" xfId="0" applyAlignment="1" applyBorder="1" applyFont="1">
      <alignment shrinkToFit="0" wrapText="1"/>
    </xf>
    <xf borderId="14" fillId="0" fontId="2" numFmtId="0" xfId="0" applyBorder="1" applyFont="1"/>
    <xf borderId="13" fillId="0" fontId="2" numFmtId="0" xfId="0" applyBorder="1" applyFont="1"/>
    <xf borderId="4" fillId="2" fontId="3" numFmtId="0" xfId="0" applyBorder="1" applyFont="1"/>
    <xf borderId="4" fillId="2" fontId="1" numFmtId="0" xfId="0" applyBorder="1" applyFont="1"/>
    <xf borderId="4" fillId="2" fontId="4" numFmtId="0" xfId="0" applyBorder="1" applyFont="1"/>
    <xf borderId="7" fillId="3" fontId="6"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29"/>
    <col customWidth="1" min="2" max="2" width="51.43"/>
    <col customWidth="1" min="3" max="3" width="136.43"/>
    <col customWidth="1" min="4" max="4" width="20.86"/>
    <col customWidth="1" min="5" max="5" width="18.86"/>
    <col customWidth="1" min="6" max="6" width="15.43"/>
    <col customWidth="1" min="7" max="7" width="5.86"/>
    <col customWidth="1" min="8" max="8" width="9.43"/>
    <col customWidth="1" min="9" max="9" width="2.71"/>
    <col customWidth="1" min="10" max="10" width="5.86"/>
    <col customWidth="1" min="11" max="11" width="5.43"/>
    <col customWidth="1" min="12" max="12" width="2.71"/>
    <col customWidth="1" min="13" max="13" width="5.86"/>
    <col customWidth="1" min="14" max="14" width="5.43"/>
    <col customWidth="1" min="15" max="15" width="2.71"/>
    <col customWidth="1" min="16" max="16" width="5.86"/>
    <col customWidth="1" min="17" max="17" width="5.43"/>
    <col customWidth="1" min="18" max="18" width="2.71"/>
    <col customWidth="1" min="19" max="19" width="5.86"/>
    <col customWidth="1" min="20" max="20" width="5.43"/>
    <col customWidth="1" min="21" max="21" width="2.71"/>
    <col customWidth="1" min="22" max="22" width="5.86"/>
    <col customWidth="1" min="23" max="23" width="5.43"/>
    <col customWidth="1" min="24" max="24" width="2.71"/>
    <col customWidth="1" min="25" max="25" width="5.86"/>
    <col customWidth="1" min="26" max="26" width="5.43"/>
    <col customWidth="1" min="27" max="27" width="2.71"/>
    <col customWidth="1" min="28" max="28" width="5.86"/>
    <col customWidth="1" min="29" max="29" width="5.43"/>
    <col customWidth="1" min="30" max="30" width="2.71"/>
    <col customWidth="1" min="31" max="31" width="5.86"/>
    <col customWidth="1" min="32" max="32" width="5.43"/>
    <col customWidth="1" min="33" max="33" width="2.71"/>
    <col customWidth="1" min="34" max="34" width="5.86"/>
    <col customWidth="1" min="35" max="35" width="5.43"/>
    <col customWidth="1" min="36" max="36" width="2.71"/>
    <col customWidth="1" min="37" max="37" width="5.86"/>
    <col customWidth="1" min="38" max="38" width="5.43"/>
    <col customWidth="1" min="39" max="39" width="2.71"/>
    <col customWidth="1" min="40" max="41" width="9.43"/>
  </cols>
  <sheetData>
    <row r="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3"/>
      <c r="AO1" s="4"/>
    </row>
    <row r="2">
      <c r="A2" s="1"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3"/>
    </row>
    <row r="3">
      <c r="A3" s="5" t="s">
        <v>2</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3"/>
    </row>
    <row r="4">
      <c r="A4" s="4"/>
      <c r="B4" s="4"/>
      <c r="C4" s="4"/>
      <c r="D4" s="4"/>
      <c r="E4" s="4"/>
      <c r="F4" s="6"/>
      <c r="G4" s="7" t="s">
        <v>3</v>
      </c>
      <c r="H4" s="8"/>
      <c r="I4" s="9"/>
      <c r="J4" s="10" t="s">
        <v>4</v>
      </c>
      <c r="K4" s="8"/>
      <c r="L4" s="9"/>
      <c r="M4" s="10" t="s">
        <v>5</v>
      </c>
      <c r="N4" s="8"/>
      <c r="O4" s="9"/>
      <c r="P4" s="10" t="s">
        <v>6</v>
      </c>
      <c r="Q4" s="8"/>
      <c r="R4" s="9"/>
      <c r="S4" s="10" t="s">
        <v>7</v>
      </c>
      <c r="T4" s="8"/>
      <c r="U4" s="9"/>
      <c r="V4" s="10" t="s">
        <v>8</v>
      </c>
      <c r="W4" s="8"/>
      <c r="X4" s="9"/>
      <c r="Y4" s="10" t="s">
        <v>9</v>
      </c>
      <c r="Z4" s="8"/>
      <c r="AA4" s="9"/>
      <c r="AB4" s="10" t="s">
        <v>10</v>
      </c>
      <c r="AC4" s="8"/>
      <c r="AD4" s="9"/>
      <c r="AE4" s="10" t="s">
        <v>11</v>
      </c>
      <c r="AF4" s="8"/>
      <c r="AG4" s="9"/>
      <c r="AH4" s="10" t="s">
        <v>12</v>
      </c>
      <c r="AI4" s="8"/>
      <c r="AJ4" s="9"/>
      <c r="AK4" s="10" t="s">
        <v>13</v>
      </c>
      <c r="AL4" s="8"/>
      <c r="AM4" s="9"/>
      <c r="AN4" s="10" t="s">
        <v>14</v>
      </c>
      <c r="AO4" s="8"/>
    </row>
    <row r="5">
      <c r="A5" s="11" t="s">
        <v>15</v>
      </c>
      <c r="B5" s="11" t="s">
        <v>16</v>
      </c>
      <c r="C5" s="11" t="s">
        <v>17</v>
      </c>
      <c r="D5" s="11" t="s">
        <v>18</v>
      </c>
      <c r="E5" s="11" t="s">
        <v>19</v>
      </c>
      <c r="F5" s="12" t="s">
        <v>20</v>
      </c>
      <c r="G5" s="13" t="s">
        <v>21</v>
      </c>
      <c r="H5" s="13" t="s">
        <v>22</v>
      </c>
      <c r="I5" s="9"/>
      <c r="J5" s="13" t="s">
        <v>21</v>
      </c>
      <c r="K5" s="13" t="s">
        <v>22</v>
      </c>
      <c r="L5" s="9"/>
      <c r="M5" s="13" t="s">
        <v>21</v>
      </c>
      <c r="N5" s="13" t="s">
        <v>22</v>
      </c>
      <c r="O5" s="9"/>
      <c r="P5" s="13" t="s">
        <v>21</v>
      </c>
      <c r="Q5" s="13" t="s">
        <v>22</v>
      </c>
      <c r="R5" s="9"/>
      <c r="S5" s="13" t="s">
        <v>21</v>
      </c>
      <c r="T5" s="13" t="s">
        <v>22</v>
      </c>
      <c r="U5" s="9"/>
      <c r="V5" s="13" t="s">
        <v>21</v>
      </c>
      <c r="W5" s="13" t="s">
        <v>22</v>
      </c>
      <c r="X5" s="9"/>
      <c r="Y5" s="13" t="s">
        <v>21</v>
      </c>
      <c r="Z5" s="13" t="s">
        <v>22</v>
      </c>
      <c r="AA5" s="9"/>
      <c r="AB5" s="13" t="s">
        <v>21</v>
      </c>
      <c r="AC5" s="13" t="s">
        <v>22</v>
      </c>
      <c r="AD5" s="9"/>
      <c r="AE5" s="13" t="s">
        <v>21</v>
      </c>
      <c r="AF5" s="13" t="s">
        <v>22</v>
      </c>
      <c r="AG5" s="9"/>
      <c r="AH5" s="13" t="s">
        <v>21</v>
      </c>
      <c r="AI5" s="13" t="s">
        <v>22</v>
      </c>
      <c r="AJ5" s="9"/>
      <c r="AK5" s="13" t="s">
        <v>21</v>
      </c>
      <c r="AL5" s="13" t="s">
        <v>22</v>
      </c>
      <c r="AM5" s="9"/>
      <c r="AN5" s="13" t="s">
        <v>21</v>
      </c>
      <c r="AO5" s="13" t="s">
        <v>22</v>
      </c>
    </row>
    <row r="6">
      <c r="A6" s="14" t="s">
        <v>23</v>
      </c>
      <c r="B6" s="15" t="s">
        <v>24</v>
      </c>
      <c r="C6" s="16" t="s">
        <v>25</v>
      </c>
      <c r="D6" s="17" t="s">
        <v>26</v>
      </c>
      <c r="E6" s="17" t="s">
        <v>27</v>
      </c>
      <c r="F6" s="18">
        <v>3.0</v>
      </c>
      <c r="G6" s="19">
        <v>0.0</v>
      </c>
      <c r="H6" s="20">
        <f t="shared" ref="H6:H112" si="1">F6-G6</f>
        <v>3</v>
      </c>
      <c r="I6" s="21"/>
      <c r="J6" s="19">
        <v>0.0</v>
      </c>
      <c r="K6" s="20">
        <f t="shared" ref="K6:K112" si="2">H6-J6</f>
        <v>3</v>
      </c>
      <c r="L6" s="21"/>
      <c r="M6" s="19">
        <v>0.0</v>
      </c>
      <c r="N6" s="20">
        <f t="shared" ref="N6:N112" si="3">K6-M6</f>
        <v>3</v>
      </c>
      <c r="O6" s="21"/>
      <c r="P6" s="19">
        <v>0.0</v>
      </c>
      <c r="Q6" s="20">
        <f t="shared" ref="Q6:Q112" si="4">N6-P6</f>
        <v>3</v>
      </c>
      <c r="R6" s="21"/>
      <c r="S6" s="19">
        <v>1.5</v>
      </c>
      <c r="T6" s="20">
        <f t="shared" ref="T6:T112" si="5">Q6-S6</f>
        <v>1.5</v>
      </c>
      <c r="U6" s="21"/>
      <c r="V6" s="16">
        <v>1.5</v>
      </c>
      <c r="W6" s="20">
        <f t="shared" ref="W6:W112" si="6">T6-V6</f>
        <v>0</v>
      </c>
      <c r="X6" s="21"/>
      <c r="Y6" s="19">
        <v>0.0</v>
      </c>
      <c r="Z6" s="20">
        <f t="shared" ref="Z6:Z112" si="7">W6-Y6</f>
        <v>0</v>
      </c>
      <c r="AA6" s="21"/>
      <c r="AB6" s="19">
        <v>0.0</v>
      </c>
      <c r="AC6" s="20">
        <f t="shared" ref="AC6:AC112" si="8">Z6-AB6</f>
        <v>0</v>
      </c>
      <c r="AD6" s="21"/>
      <c r="AE6" s="19">
        <v>0.0</v>
      </c>
      <c r="AF6" s="20">
        <f t="shared" ref="AF6:AF112" si="9">AC6-AE6</f>
        <v>0</v>
      </c>
      <c r="AG6" s="21"/>
      <c r="AH6" s="19">
        <v>0.0</v>
      </c>
      <c r="AI6" s="20">
        <f t="shared" ref="AI6:AI112" si="10">AF6-AH6</f>
        <v>0</v>
      </c>
      <c r="AJ6" s="21"/>
      <c r="AK6" s="19">
        <v>0.0</v>
      </c>
      <c r="AL6" s="20">
        <f t="shared" ref="AL6:AL112" si="11">AI6-AK6</f>
        <v>0</v>
      </c>
      <c r="AM6" s="21"/>
      <c r="AN6" s="22">
        <f t="shared" ref="AN6:AN112" si="12">IFERROR(G6+J6+M6+P6+S6+V6+Y6+AB6+AE6+AH6+AK6,0)</f>
        <v>3</v>
      </c>
      <c r="AO6" s="22">
        <f t="shared" ref="AO6:AO112" si="13">F6-AN6</f>
        <v>0</v>
      </c>
    </row>
    <row r="7">
      <c r="A7" s="23"/>
      <c r="B7" s="23"/>
      <c r="C7" s="16" t="s">
        <v>28</v>
      </c>
      <c r="D7" s="17" t="s">
        <v>26</v>
      </c>
      <c r="E7" s="17" t="s">
        <v>27</v>
      </c>
      <c r="F7" s="18">
        <v>5.0</v>
      </c>
      <c r="G7" s="19">
        <v>0.0</v>
      </c>
      <c r="H7" s="20">
        <f t="shared" si="1"/>
        <v>5</v>
      </c>
      <c r="I7" s="21"/>
      <c r="J7" s="19">
        <v>0.0</v>
      </c>
      <c r="K7" s="20">
        <f t="shared" si="2"/>
        <v>5</v>
      </c>
      <c r="L7" s="21"/>
      <c r="M7" s="19">
        <v>0.0</v>
      </c>
      <c r="N7" s="20">
        <f t="shared" si="3"/>
        <v>5</v>
      </c>
      <c r="O7" s="21"/>
      <c r="P7" s="19">
        <v>0.0</v>
      </c>
      <c r="Q7" s="20">
        <f t="shared" si="4"/>
        <v>5</v>
      </c>
      <c r="R7" s="21"/>
      <c r="S7" s="19">
        <v>2.5</v>
      </c>
      <c r="T7" s="20">
        <f t="shared" si="5"/>
        <v>2.5</v>
      </c>
      <c r="U7" s="21"/>
      <c r="V7" s="16">
        <v>2.5</v>
      </c>
      <c r="W7" s="20">
        <f t="shared" si="6"/>
        <v>0</v>
      </c>
      <c r="X7" s="21"/>
      <c r="Y7" s="19">
        <v>0.0</v>
      </c>
      <c r="Z7" s="20">
        <f t="shared" si="7"/>
        <v>0</v>
      </c>
      <c r="AA7" s="21"/>
      <c r="AB7" s="19">
        <v>0.0</v>
      </c>
      <c r="AC7" s="20">
        <f t="shared" si="8"/>
        <v>0</v>
      </c>
      <c r="AD7" s="21"/>
      <c r="AE7" s="19">
        <v>0.0</v>
      </c>
      <c r="AF7" s="20">
        <f t="shared" si="9"/>
        <v>0</v>
      </c>
      <c r="AG7" s="21"/>
      <c r="AH7" s="19">
        <v>0.0</v>
      </c>
      <c r="AI7" s="20">
        <f t="shared" si="10"/>
        <v>0</v>
      </c>
      <c r="AJ7" s="21"/>
      <c r="AK7" s="19">
        <v>0.0</v>
      </c>
      <c r="AL7" s="20">
        <f t="shared" si="11"/>
        <v>0</v>
      </c>
      <c r="AM7" s="21"/>
      <c r="AN7" s="22">
        <f t="shared" si="12"/>
        <v>5</v>
      </c>
      <c r="AO7" s="22">
        <f t="shared" si="13"/>
        <v>0</v>
      </c>
    </row>
    <row r="8">
      <c r="A8" s="23"/>
      <c r="B8" s="23"/>
      <c r="C8" s="16" t="s">
        <v>29</v>
      </c>
      <c r="D8" s="17" t="s">
        <v>26</v>
      </c>
      <c r="E8" s="17" t="s">
        <v>27</v>
      </c>
      <c r="F8" s="18">
        <v>6.0</v>
      </c>
      <c r="G8" s="19">
        <v>0.0</v>
      </c>
      <c r="H8" s="20">
        <f t="shared" si="1"/>
        <v>6</v>
      </c>
      <c r="I8" s="21"/>
      <c r="J8" s="19">
        <v>0.0</v>
      </c>
      <c r="K8" s="20">
        <f t="shared" si="2"/>
        <v>6</v>
      </c>
      <c r="L8" s="21"/>
      <c r="M8" s="19">
        <v>0.0</v>
      </c>
      <c r="N8" s="20">
        <f t="shared" si="3"/>
        <v>6</v>
      </c>
      <c r="O8" s="21"/>
      <c r="P8" s="19">
        <v>0.0</v>
      </c>
      <c r="Q8" s="20">
        <f t="shared" si="4"/>
        <v>6</v>
      </c>
      <c r="R8" s="21"/>
      <c r="S8" s="19">
        <v>3.0</v>
      </c>
      <c r="T8" s="20">
        <f t="shared" si="5"/>
        <v>3</v>
      </c>
      <c r="U8" s="21"/>
      <c r="V8" s="16">
        <v>3.0</v>
      </c>
      <c r="W8" s="20">
        <f t="shared" si="6"/>
        <v>0</v>
      </c>
      <c r="X8" s="21"/>
      <c r="Y8" s="19">
        <v>0.0</v>
      </c>
      <c r="Z8" s="20">
        <f t="shared" si="7"/>
        <v>0</v>
      </c>
      <c r="AA8" s="21"/>
      <c r="AB8" s="19">
        <v>0.0</v>
      </c>
      <c r="AC8" s="20">
        <f t="shared" si="8"/>
        <v>0</v>
      </c>
      <c r="AD8" s="21"/>
      <c r="AE8" s="19">
        <v>0.0</v>
      </c>
      <c r="AF8" s="20">
        <f t="shared" si="9"/>
        <v>0</v>
      </c>
      <c r="AG8" s="21"/>
      <c r="AH8" s="19">
        <v>0.0</v>
      </c>
      <c r="AI8" s="20">
        <f t="shared" si="10"/>
        <v>0</v>
      </c>
      <c r="AJ8" s="21"/>
      <c r="AK8" s="19">
        <v>0.0</v>
      </c>
      <c r="AL8" s="20">
        <f t="shared" si="11"/>
        <v>0</v>
      </c>
      <c r="AM8" s="21"/>
      <c r="AN8" s="22">
        <f t="shared" si="12"/>
        <v>6</v>
      </c>
      <c r="AO8" s="22">
        <f t="shared" si="13"/>
        <v>0</v>
      </c>
    </row>
    <row r="9">
      <c r="A9" s="24"/>
      <c r="B9" s="24"/>
      <c r="C9" s="16" t="s">
        <v>30</v>
      </c>
      <c r="D9" s="17" t="s">
        <v>26</v>
      </c>
      <c r="E9" s="17" t="s">
        <v>27</v>
      </c>
      <c r="F9" s="18">
        <v>4.0</v>
      </c>
      <c r="G9" s="19">
        <v>0.0</v>
      </c>
      <c r="H9" s="20">
        <f t="shared" si="1"/>
        <v>4</v>
      </c>
      <c r="I9" s="21"/>
      <c r="J9" s="19">
        <v>0.0</v>
      </c>
      <c r="K9" s="20">
        <f t="shared" si="2"/>
        <v>4</v>
      </c>
      <c r="L9" s="21"/>
      <c r="M9" s="19">
        <v>0.0</v>
      </c>
      <c r="N9" s="20">
        <f t="shared" si="3"/>
        <v>4</v>
      </c>
      <c r="O9" s="21"/>
      <c r="P9" s="19">
        <v>0.0</v>
      </c>
      <c r="Q9" s="20">
        <f t="shared" si="4"/>
        <v>4</v>
      </c>
      <c r="R9" s="21"/>
      <c r="S9" s="19">
        <v>2.0</v>
      </c>
      <c r="T9" s="20">
        <f t="shared" si="5"/>
        <v>2</v>
      </c>
      <c r="U9" s="21"/>
      <c r="V9" s="16">
        <v>2.0</v>
      </c>
      <c r="W9" s="20">
        <f t="shared" si="6"/>
        <v>0</v>
      </c>
      <c r="X9" s="21"/>
      <c r="Y9" s="19">
        <v>0.0</v>
      </c>
      <c r="Z9" s="20">
        <f t="shared" si="7"/>
        <v>0</v>
      </c>
      <c r="AA9" s="21"/>
      <c r="AB9" s="19">
        <v>0.0</v>
      </c>
      <c r="AC9" s="20">
        <f t="shared" si="8"/>
        <v>0</v>
      </c>
      <c r="AD9" s="21"/>
      <c r="AE9" s="19">
        <v>0.0</v>
      </c>
      <c r="AF9" s="20">
        <f t="shared" si="9"/>
        <v>0</v>
      </c>
      <c r="AG9" s="21"/>
      <c r="AH9" s="19">
        <v>0.0</v>
      </c>
      <c r="AI9" s="20">
        <f t="shared" si="10"/>
        <v>0</v>
      </c>
      <c r="AJ9" s="21"/>
      <c r="AK9" s="19">
        <v>0.0</v>
      </c>
      <c r="AL9" s="20">
        <f t="shared" si="11"/>
        <v>0</v>
      </c>
      <c r="AM9" s="21"/>
      <c r="AN9" s="22">
        <f t="shared" si="12"/>
        <v>4</v>
      </c>
      <c r="AO9" s="22">
        <f t="shared" si="13"/>
        <v>0</v>
      </c>
    </row>
    <row r="10">
      <c r="A10" s="14" t="s">
        <v>31</v>
      </c>
      <c r="B10" s="15" t="s">
        <v>32</v>
      </c>
      <c r="C10" s="25" t="s">
        <v>33</v>
      </c>
      <c r="D10" s="17" t="s">
        <v>26</v>
      </c>
      <c r="E10" s="17" t="s">
        <v>27</v>
      </c>
      <c r="F10" s="18">
        <v>5.0</v>
      </c>
      <c r="G10" s="19">
        <v>0.0</v>
      </c>
      <c r="H10" s="20">
        <f t="shared" si="1"/>
        <v>5</v>
      </c>
      <c r="I10" s="21"/>
      <c r="J10" s="19">
        <v>0.0</v>
      </c>
      <c r="K10" s="20">
        <f t="shared" si="2"/>
        <v>5</v>
      </c>
      <c r="L10" s="21"/>
      <c r="M10" s="19">
        <v>0.0</v>
      </c>
      <c r="N10" s="20">
        <f t="shared" si="3"/>
        <v>5</v>
      </c>
      <c r="O10" s="21"/>
      <c r="P10" s="19">
        <v>0.0</v>
      </c>
      <c r="Q10" s="20">
        <f t="shared" si="4"/>
        <v>5</v>
      </c>
      <c r="R10" s="21"/>
      <c r="S10" s="19">
        <v>0.0</v>
      </c>
      <c r="T10" s="20">
        <f t="shared" si="5"/>
        <v>5</v>
      </c>
      <c r="U10" s="21"/>
      <c r="V10" s="16">
        <v>0.0</v>
      </c>
      <c r="W10" s="20">
        <f t="shared" si="6"/>
        <v>5</v>
      </c>
      <c r="X10" s="21"/>
      <c r="Y10" s="19">
        <v>2.5</v>
      </c>
      <c r="Z10" s="20">
        <f t="shared" si="7"/>
        <v>2.5</v>
      </c>
      <c r="AA10" s="21"/>
      <c r="AB10" s="19">
        <v>2.5</v>
      </c>
      <c r="AC10" s="20">
        <f t="shared" si="8"/>
        <v>0</v>
      </c>
      <c r="AD10" s="21"/>
      <c r="AE10" s="19">
        <v>0.0</v>
      </c>
      <c r="AF10" s="20">
        <f t="shared" si="9"/>
        <v>0</v>
      </c>
      <c r="AG10" s="21"/>
      <c r="AH10" s="19">
        <v>0.0</v>
      </c>
      <c r="AI10" s="20">
        <f t="shared" si="10"/>
        <v>0</v>
      </c>
      <c r="AJ10" s="21"/>
      <c r="AK10" s="19">
        <v>0.0</v>
      </c>
      <c r="AL10" s="20">
        <f t="shared" si="11"/>
        <v>0</v>
      </c>
      <c r="AM10" s="21"/>
      <c r="AN10" s="22">
        <f t="shared" si="12"/>
        <v>5</v>
      </c>
      <c r="AO10" s="22">
        <f t="shared" si="13"/>
        <v>0</v>
      </c>
    </row>
    <row r="11">
      <c r="A11" s="23"/>
      <c r="B11" s="23"/>
      <c r="C11" s="25" t="s">
        <v>34</v>
      </c>
      <c r="D11" s="17" t="s">
        <v>26</v>
      </c>
      <c r="E11" s="17" t="s">
        <v>27</v>
      </c>
      <c r="F11" s="18">
        <v>6.0</v>
      </c>
      <c r="G11" s="19">
        <v>0.0</v>
      </c>
      <c r="H11" s="20">
        <f t="shared" si="1"/>
        <v>6</v>
      </c>
      <c r="I11" s="21"/>
      <c r="J11" s="19">
        <v>0.0</v>
      </c>
      <c r="K11" s="20">
        <f t="shared" si="2"/>
        <v>6</v>
      </c>
      <c r="L11" s="21"/>
      <c r="M11" s="19">
        <v>0.0</v>
      </c>
      <c r="N11" s="20">
        <f t="shared" si="3"/>
        <v>6</v>
      </c>
      <c r="O11" s="21"/>
      <c r="P11" s="19">
        <v>0.0</v>
      </c>
      <c r="Q11" s="20">
        <f t="shared" si="4"/>
        <v>6</v>
      </c>
      <c r="R11" s="21"/>
      <c r="S11" s="19">
        <v>0.0</v>
      </c>
      <c r="T11" s="20">
        <f t="shared" si="5"/>
        <v>6</v>
      </c>
      <c r="U11" s="21"/>
      <c r="V11" s="16">
        <v>0.0</v>
      </c>
      <c r="W11" s="20">
        <f t="shared" si="6"/>
        <v>6</v>
      </c>
      <c r="X11" s="21"/>
      <c r="Y11" s="19">
        <v>3.0</v>
      </c>
      <c r="Z11" s="20">
        <f t="shared" si="7"/>
        <v>3</v>
      </c>
      <c r="AA11" s="21"/>
      <c r="AB11" s="19">
        <v>3.0</v>
      </c>
      <c r="AC11" s="20">
        <f t="shared" si="8"/>
        <v>0</v>
      </c>
      <c r="AD11" s="21"/>
      <c r="AE11" s="19">
        <v>0.0</v>
      </c>
      <c r="AF11" s="20">
        <f t="shared" si="9"/>
        <v>0</v>
      </c>
      <c r="AG11" s="21"/>
      <c r="AH11" s="19">
        <v>0.0</v>
      </c>
      <c r="AI11" s="20">
        <f t="shared" si="10"/>
        <v>0</v>
      </c>
      <c r="AJ11" s="21"/>
      <c r="AK11" s="19">
        <v>0.0</v>
      </c>
      <c r="AL11" s="20">
        <f t="shared" si="11"/>
        <v>0</v>
      </c>
      <c r="AM11" s="21"/>
      <c r="AN11" s="22">
        <f t="shared" si="12"/>
        <v>6</v>
      </c>
      <c r="AO11" s="22">
        <f t="shared" si="13"/>
        <v>0</v>
      </c>
    </row>
    <row r="12">
      <c r="A12" s="23"/>
      <c r="B12" s="23"/>
      <c r="C12" s="25" t="s">
        <v>35</v>
      </c>
      <c r="D12" s="17" t="s">
        <v>26</v>
      </c>
      <c r="E12" s="17" t="s">
        <v>27</v>
      </c>
      <c r="F12" s="18">
        <v>6.0</v>
      </c>
      <c r="G12" s="19">
        <v>0.0</v>
      </c>
      <c r="H12" s="20">
        <f t="shared" si="1"/>
        <v>6</v>
      </c>
      <c r="I12" s="21"/>
      <c r="J12" s="19">
        <v>0.0</v>
      </c>
      <c r="K12" s="20">
        <f t="shared" si="2"/>
        <v>6</v>
      </c>
      <c r="L12" s="21"/>
      <c r="M12" s="19">
        <v>0.0</v>
      </c>
      <c r="N12" s="20">
        <f t="shared" si="3"/>
        <v>6</v>
      </c>
      <c r="O12" s="21"/>
      <c r="P12" s="19">
        <v>0.0</v>
      </c>
      <c r="Q12" s="20">
        <f t="shared" si="4"/>
        <v>6</v>
      </c>
      <c r="R12" s="21"/>
      <c r="S12" s="19">
        <v>0.0</v>
      </c>
      <c r="T12" s="20">
        <f t="shared" si="5"/>
        <v>6</v>
      </c>
      <c r="U12" s="21"/>
      <c r="V12" s="16">
        <v>0.0</v>
      </c>
      <c r="W12" s="20">
        <f t="shared" si="6"/>
        <v>6</v>
      </c>
      <c r="X12" s="21"/>
      <c r="Y12" s="19">
        <v>3.0</v>
      </c>
      <c r="Z12" s="20">
        <f t="shared" si="7"/>
        <v>3</v>
      </c>
      <c r="AA12" s="21"/>
      <c r="AB12" s="19">
        <v>3.0</v>
      </c>
      <c r="AC12" s="20">
        <f t="shared" si="8"/>
        <v>0</v>
      </c>
      <c r="AD12" s="21"/>
      <c r="AE12" s="19">
        <v>0.0</v>
      </c>
      <c r="AF12" s="20">
        <f t="shared" si="9"/>
        <v>0</v>
      </c>
      <c r="AG12" s="21"/>
      <c r="AH12" s="19">
        <v>0.0</v>
      </c>
      <c r="AI12" s="20">
        <f t="shared" si="10"/>
        <v>0</v>
      </c>
      <c r="AJ12" s="21"/>
      <c r="AK12" s="19">
        <v>0.0</v>
      </c>
      <c r="AL12" s="20">
        <f t="shared" si="11"/>
        <v>0</v>
      </c>
      <c r="AM12" s="21"/>
      <c r="AN12" s="22">
        <f t="shared" si="12"/>
        <v>6</v>
      </c>
      <c r="AO12" s="22">
        <f t="shared" si="13"/>
        <v>0</v>
      </c>
    </row>
    <row r="13">
      <c r="A13" s="23"/>
      <c r="B13" s="23"/>
      <c r="C13" s="25" t="s">
        <v>36</v>
      </c>
      <c r="D13" s="17" t="s">
        <v>26</v>
      </c>
      <c r="E13" s="17" t="s">
        <v>27</v>
      </c>
      <c r="F13" s="18">
        <v>4.0</v>
      </c>
      <c r="G13" s="19">
        <v>0.0</v>
      </c>
      <c r="H13" s="20">
        <f t="shared" si="1"/>
        <v>4</v>
      </c>
      <c r="I13" s="21"/>
      <c r="J13" s="19">
        <v>0.0</v>
      </c>
      <c r="K13" s="20">
        <f t="shared" si="2"/>
        <v>4</v>
      </c>
      <c r="L13" s="21"/>
      <c r="M13" s="19">
        <v>0.0</v>
      </c>
      <c r="N13" s="20">
        <f t="shared" si="3"/>
        <v>4</v>
      </c>
      <c r="O13" s="21"/>
      <c r="P13" s="19">
        <v>0.0</v>
      </c>
      <c r="Q13" s="20">
        <f t="shared" si="4"/>
        <v>4</v>
      </c>
      <c r="R13" s="21"/>
      <c r="S13" s="19">
        <v>0.0</v>
      </c>
      <c r="T13" s="20">
        <f t="shared" si="5"/>
        <v>4</v>
      </c>
      <c r="U13" s="21"/>
      <c r="V13" s="16">
        <v>0.0</v>
      </c>
      <c r="W13" s="20">
        <f t="shared" si="6"/>
        <v>4</v>
      </c>
      <c r="X13" s="21"/>
      <c r="Y13" s="19">
        <v>2.0</v>
      </c>
      <c r="Z13" s="20">
        <f t="shared" si="7"/>
        <v>2</v>
      </c>
      <c r="AA13" s="21"/>
      <c r="AB13" s="19">
        <v>2.0</v>
      </c>
      <c r="AC13" s="20">
        <f t="shared" si="8"/>
        <v>0</v>
      </c>
      <c r="AD13" s="21"/>
      <c r="AE13" s="19">
        <v>0.0</v>
      </c>
      <c r="AF13" s="20">
        <f t="shared" si="9"/>
        <v>0</v>
      </c>
      <c r="AG13" s="21"/>
      <c r="AH13" s="19">
        <v>0.0</v>
      </c>
      <c r="AI13" s="20">
        <f t="shared" si="10"/>
        <v>0</v>
      </c>
      <c r="AJ13" s="21"/>
      <c r="AK13" s="19">
        <v>0.0</v>
      </c>
      <c r="AL13" s="20">
        <f t="shared" si="11"/>
        <v>0</v>
      </c>
      <c r="AM13" s="21"/>
      <c r="AN13" s="22">
        <f t="shared" si="12"/>
        <v>4</v>
      </c>
      <c r="AO13" s="22">
        <f t="shared" si="13"/>
        <v>0</v>
      </c>
    </row>
    <row r="14">
      <c r="A14" s="24"/>
      <c r="B14" s="24"/>
      <c r="C14" s="25" t="s">
        <v>37</v>
      </c>
      <c r="D14" s="17" t="s">
        <v>26</v>
      </c>
      <c r="E14" s="17" t="s">
        <v>27</v>
      </c>
      <c r="F14" s="18">
        <v>3.0</v>
      </c>
      <c r="G14" s="19">
        <v>0.0</v>
      </c>
      <c r="H14" s="20">
        <f t="shared" si="1"/>
        <v>3</v>
      </c>
      <c r="I14" s="21"/>
      <c r="J14" s="19">
        <v>0.0</v>
      </c>
      <c r="K14" s="20">
        <f t="shared" si="2"/>
        <v>3</v>
      </c>
      <c r="L14" s="21"/>
      <c r="M14" s="19">
        <v>0.0</v>
      </c>
      <c r="N14" s="20">
        <f t="shared" si="3"/>
        <v>3</v>
      </c>
      <c r="O14" s="21"/>
      <c r="P14" s="19">
        <v>0.0</v>
      </c>
      <c r="Q14" s="20">
        <f t="shared" si="4"/>
        <v>3</v>
      </c>
      <c r="R14" s="21"/>
      <c r="S14" s="19">
        <v>0.0</v>
      </c>
      <c r="T14" s="20">
        <f t="shared" si="5"/>
        <v>3</v>
      </c>
      <c r="U14" s="21"/>
      <c r="V14" s="16">
        <v>0.0</v>
      </c>
      <c r="W14" s="20">
        <f t="shared" si="6"/>
        <v>3</v>
      </c>
      <c r="X14" s="21"/>
      <c r="Y14" s="19">
        <v>1.5</v>
      </c>
      <c r="Z14" s="20">
        <f t="shared" si="7"/>
        <v>1.5</v>
      </c>
      <c r="AA14" s="21"/>
      <c r="AB14" s="19">
        <v>1.5</v>
      </c>
      <c r="AC14" s="20">
        <f t="shared" si="8"/>
        <v>0</v>
      </c>
      <c r="AD14" s="21"/>
      <c r="AE14" s="19">
        <v>0.0</v>
      </c>
      <c r="AF14" s="20">
        <f t="shared" si="9"/>
        <v>0</v>
      </c>
      <c r="AG14" s="21"/>
      <c r="AH14" s="19">
        <v>0.0</v>
      </c>
      <c r="AI14" s="20">
        <f t="shared" si="10"/>
        <v>0</v>
      </c>
      <c r="AJ14" s="21"/>
      <c r="AK14" s="19">
        <v>0.0</v>
      </c>
      <c r="AL14" s="20">
        <f t="shared" si="11"/>
        <v>0</v>
      </c>
      <c r="AM14" s="21"/>
      <c r="AN14" s="22">
        <f t="shared" si="12"/>
        <v>3</v>
      </c>
      <c r="AO14" s="22">
        <f t="shared" si="13"/>
        <v>0</v>
      </c>
    </row>
    <row r="15">
      <c r="A15" s="14" t="s">
        <v>38</v>
      </c>
      <c r="B15" s="15" t="s">
        <v>39</v>
      </c>
      <c r="C15" s="16" t="s">
        <v>40</v>
      </c>
      <c r="D15" s="17" t="s">
        <v>26</v>
      </c>
      <c r="E15" s="17" t="s">
        <v>27</v>
      </c>
      <c r="F15" s="18">
        <v>4.0</v>
      </c>
      <c r="G15" s="19">
        <v>0.0</v>
      </c>
      <c r="H15" s="20">
        <f t="shared" si="1"/>
        <v>4</v>
      </c>
      <c r="I15" s="21"/>
      <c r="J15" s="19">
        <v>0.0</v>
      </c>
      <c r="K15" s="20">
        <f t="shared" si="2"/>
        <v>4</v>
      </c>
      <c r="L15" s="21"/>
      <c r="M15" s="19">
        <v>0.0</v>
      </c>
      <c r="N15" s="20">
        <f t="shared" si="3"/>
        <v>4</v>
      </c>
      <c r="O15" s="21"/>
      <c r="P15" s="19">
        <v>0.0</v>
      </c>
      <c r="Q15" s="20">
        <f t="shared" si="4"/>
        <v>4</v>
      </c>
      <c r="R15" s="21"/>
      <c r="S15" s="19">
        <v>0.0</v>
      </c>
      <c r="T15" s="20">
        <f t="shared" si="5"/>
        <v>4</v>
      </c>
      <c r="U15" s="21"/>
      <c r="V15" s="16">
        <v>0.0</v>
      </c>
      <c r="W15" s="20">
        <f t="shared" si="6"/>
        <v>4</v>
      </c>
      <c r="X15" s="21"/>
      <c r="Y15" s="19">
        <v>2.0</v>
      </c>
      <c r="Z15" s="20">
        <f t="shared" si="7"/>
        <v>2</v>
      </c>
      <c r="AA15" s="21"/>
      <c r="AB15" s="19">
        <v>2.0</v>
      </c>
      <c r="AC15" s="20">
        <f t="shared" si="8"/>
        <v>0</v>
      </c>
      <c r="AD15" s="21"/>
      <c r="AE15" s="19">
        <v>0.0</v>
      </c>
      <c r="AF15" s="20">
        <f t="shared" si="9"/>
        <v>0</v>
      </c>
      <c r="AG15" s="21"/>
      <c r="AH15" s="19">
        <v>0.0</v>
      </c>
      <c r="AI15" s="20">
        <f t="shared" si="10"/>
        <v>0</v>
      </c>
      <c r="AJ15" s="21"/>
      <c r="AK15" s="19">
        <v>0.0</v>
      </c>
      <c r="AL15" s="20">
        <f t="shared" si="11"/>
        <v>0</v>
      </c>
      <c r="AM15" s="21"/>
      <c r="AN15" s="22">
        <f t="shared" si="12"/>
        <v>4</v>
      </c>
      <c r="AO15" s="22">
        <f t="shared" si="13"/>
        <v>0</v>
      </c>
    </row>
    <row r="16">
      <c r="A16" s="23"/>
      <c r="B16" s="23"/>
      <c r="C16" s="16" t="s">
        <v>41</v>
      </c>
      <c r="D16" s="17" t="s">
        <v>26</v>
      </c>
      <c r="E16" s="17" t="s">
        <v>27</v>
      </c>
      <c r="F16" s="26">
        <v>6.0</v>
      </c>
      <c r="G16" s="27">
        <v>0.0</v>
      </c>
      <c r="H16" s="20">
        <f t="shared" si="1"/>
        <v>6</v>
      </c>
      <c r="I16" s="28"/>
      <c r="J16" s="27">
        <v>0.0</v>
      </c>
      <c r="K16" s="20">
        <f t="shared" si="2"/>
        <v>6</v>
      </c>
      <c r="L16" s="28"/>
      <c r="M16" s="27">
        <v>0.0</v>
      </c>
      <c r="N16" s="20">
        <f t="shared" si="3"/>
        <v>6</v>
      </c>
      <c r="O16" s="28"/>
      <c r="P16" s="27">
        <v>0.0</v>
      </c>
      <c r="Q16" s="20">
        <f t="shared" si="4"/>
        <v>6</v>
      </c>
      <c r="R16" s="21"/>
      <c r="S16" s="19">
        <v>0.0</v>
      </c>
      <c r="T16" s="20">
        <f t="shared" si="5"/>
        <v>6</v>
      </c>
      <c r="U16" s="21"/>
      <c r="V16" s="16">
        <v>0.0</v>
      </c>
      <c r="W16" s="20">
        <f t="shared" si="6"/>
        <v>6</v>
      </c>
      <c r="X16" s="21"/>
      <c r="Y16" s="19">
        <v>3.0</v>
      </c>
      <c r="Z16" s="20">
        <f t="shared" si="7"/>
        <v>3</v>
      </c>
      <c r="AA16" s="21"/>
      <c r="AB16" s="19">
        <v>3.0</v>
      </c>
      <c r="AC16" s="20">
        <f t="shared" si="8"/>
        <v>0</v>
      </c>
      <c r="AD16" s="21"/>
      <c r="AE16" s="19">
        <v>0.0</v>
      </c>
      <c r="AF16" s="20">
        <f t="shared" si="9"/>
        <v>0</v>
      </c>
      <c r="AG16" s="21"/>
      <c r="AH16" s="19">
        <v>0.0</v>
      </c>
      <c r="AI16" s="20">
        <f t="shared" si="10"/>
        <v>0</v>
      </c>
      <c r="AJ16" s="21"/>
      <c r="AK16" s="19">
        <v>0.0</v>
      </c>
      <c r="AL16" s="20">
        <f t="shared" si="11"/>
        <v>0</v>
      </c>
      <c r="AM16" s="21"/>
      <c r="AN16" s="22">
        <f t="shared" si="12"/>
        <v>6</v>
      </c>
      <c r="AO16" s="22">
        <f t="shared" si="13"/>
        <v>0</v>
      </c>
    </row>
    <row r="17">
      <c r="A17" s="23"/>
      <c r="B17" s="23"/>
      <c r="C17" s="16" t="s">
        <v>42</v>
      </c>
      <c r="D17" s="17" t="s">
        <v>26</v>
      </c>
      <c r="E17" s="17" t="s">
        <v>27</v>
      </c>
      <c r="F17" s="26">
        <v>5.0</v>
      </c>
      <c r="G17" s="27">
        <v>0.0</v>
      </c>
      <c r="H17" s="20">
        <f t="shared" si="1"/>
        <v>5</v>
      </c>
      <c r="I17" s="28"/>
      <c r="J17" s="27">
        <v>0.0</v>
      </c>
      <c r="K17" s="20">
        <f t="shared" si="2"/>
        <v>5</v>
      </c>
      <c r="L17" s="28"/>
      <c r="M17" s="27">
        <v>0.0</v>
      </c>
      <c r="N17" s="20">
        <f t="shared" si="3"/>
        <v>5</v>
      </c>
      <c r="O17" s="28"/>
      <c r="P17" s="27">
        <v>0.0</v>
      </c>
      <c r="Q17" s="20">
        <f t="shared" si="4"/>
        <v>5</v>
      </c>
      <c r="R17" s="21"/>
      <c r="S17" s="19">
        <v>0.0</v>
      </c>
      <c r="T17" s="20">
        <f t="shared" si="5"/>
        <v>5</v>
      </c>
      <c r="U17" s="21"/>
      <c r="V17" s="16">
        <v>0.0</v>
      </c>
      <c r="W17" s="20">
        <f t="shared" si="6"/>
        <v>5</v>
      </c>
      <c r="X17" s="21"/>
      <c r="Y17" s="19">
        <v>2.5</v>
      </c>
      <c r="Z17" s="20">
        <f t="shared" si="7"/>
        <v>2.5</v>
      </c>
      <c r="AA17" s="21"/>
      <c r="AB17" s="19">
        <v>2.5</v>
      </c>
      <c r="AC17" s="20">
        <f t="shared" si="8"/>
        <v>0</v>
      </c>
      <c r="AD17" s="21"/>
      <c r="AE17" s="19">
        <v>0.0</v>
      </c>
      <c r="AF17" s="20">
        <f t="shared" si="9"/>
        <v>0</v>
      </c>
      <c r="AG17" s="21"/>
      <c r="AH17" s="19">
        <v>0.0</v>
      </c>
      <c r="AI17" s="20">
        <f t="shared" si="10"/>
        <v>0</v>
      </c>
      <c r="AJ17" s="21"/>
      <c r="AK17" s="19">
        <v>0.0</v>
      </c>
      <c r="AL17" s="20">
        <f t="shared" si="11"/>
        <v>0</v>
      </c>
      <c r="AM17" s="21"/>
      <c r="AN17" s="22">
        <f t="shared" si="12"/>
        <v>5</v>
      </c>
      <c r="AO17" s="22">
        <f t="shared" si="13"/>
        <v>0</v>
      </c>
    </row>
    <row r="18">
      <c r="A18" s="24"/>
      <c r="B18" s="24"/>
      <c r="C18" s="16" t="s">
        <v>43</v>
      </c>
      <c r="D18" s="17" t="s">
        <v>26</v>
      </c>
      <c r="E18" s="17" t="s">
        <v>27</v>
      </c>
      <c r="F18" s="26">
        <v>3.0</v>
      </c>
      <c r="G18" s="27">
        <v>0.0</v>
      </c>
      <c r="H18" s="20">
        <f t="shared" si="1"/>
        <v>3</v>
      </c>
      <c r="I18" s="28"/>
      <c r="J18" s="27">
        <v>0.0</v>
      </c>
      <c r="K18" s="20">
        <f t="shared" si="2"/>
        <v>3</v>
      </c>
      <c r="L18" s="28"/>
      <c r="M18" s="27">
        <v>0.0</v>
      </c>
      <c r="N18" s="20">
        <f t="shared" si="3"/>
        <v>3</v>
      </c>
      <c r="O18" s="28"/>
      <c r="P18" s="27">
        <v>0.0</v>
      </c>
      <c r="Q18" s="20">
        <f t="shared" si="4"/>
        <v>3</v>
      </c>
      <c r="R18" s="21"/>
      <c r="S18" s="19">
        <v>0.0</v>
      </c>
      <c r="T18" s="20">
        <f t="shared" si="5"/>
        <v>3</v>
      </c>
      <c r="U18" s="21"/>
      <c r="V18" s="16">
        <v>0.0</v>
      </c>
      <c r="W18" s="20">
        <f t="shared" si="6"/>
        <v>3</v>
      </c>
      <c r="X18" s="21"/>
      <c r="Y18" s="19">
        <v>1.5</v>
      </c>
      <c r="Z18" s="20">
        <f t="shared" si="7"/>
        <v>1.5</v>
      </c>
      <c r="AA18" s="21"/>
      <c r="AB18" s="19">
        <v>1.5</v>
      </c>
      <c r="AC18" s="20">
        <f t="shared" si="8"/>
        <v>0</v>
      </c>
      <c r="AD18" s="21"/>
      <c r="AE18" s="19">
        <v>0.0</v>
      </c>
      <c r="AF18" s="20">
        <f t="shared" si="9"/>
        <v>0</v>
      </c>
      <c r="AG18" s="21"/>
      <c r="AH18" s="19">
        <v>0.0</v>
      </c>
      <c r="AI18" s="20">
        <f t="shared" si="10"/>
        <v>0</v>
      </c>
      <c r="AJ18" s="21"/>
      <c r="AK18" s="19">
        <v>0.0</v>
      </c>
      <c r="AL18" s="20">
        <f t="shared" si="11"/>
        <v>0</v>
      </c>
      <c r="AM18" s="21"/>
      <c r="AN18" s="22">
        <f t="shared" si="12"/>
        <v>3</v>
      </c>
      <c r="AO18" s="22">
        <f t="shared" si="13"/>
        <v>0</v>
      </c>
    </row>
    <row r="19">
      <c r="A19" s="14" t="s">
        <v>44</v>
      </c>
      <c r="B19" s="15" t="s">
        <v>45</v>
      </c>
      <c r="C19" s="16" t="s">
        <v>46</v>
      </c>
      <c r="D19" s="17" t="s">
        <v>26</v>
      </c>
      <c r="E19" s="17" t="s">
        <v>27</v>
      </c>
      <c r="F19" s="26">
        <v>4.0</v>
      </c>
      <c r="G19" s="27">
        <v>2.0</v>
      </c>
      <c r="H19" s="20">
        <f t="shared" si="1"/>
        <v>2</v>
      </c>
      <c r="I19" s="28"/>
      <c r="J19" s="27">
        <v>2.0</v>
      </c>
      <c r="K19" s="20">
        <f t="shared" si="2"/>
        <v>0</v>
      </c>
      <c r="L19" s="28"/>
      <c r="M19" s="27">
        <v>0.0</v>
      </c>
      <c r="N19" s="20">
        <f t="shared" si="3"/>
        <v>0</v>
      </c>
      <c r="O19" s="28"/>
      <c r="P19" s="27">
        <v>0.0</v>
      </c>
      <c r="Q19" s="20">
        <f t="shared" si="4"/>
        <v>0</v>
      </c>
      <c r="R19" s="21"/>
      <c r="S19" s="19">
        <v>0.0</v>
      </c>
      <c r="T19" s="20">
        <f t="shared" si="5"/>
        <v>0</v>
      </c>
      <c r="U19" s="21"/>
      <c r="V19" s="16">
        <v>0.0</v>
      </c>
      <c r="W19" s="20">
        <f t="shared" si="6"/>
        <v>0</v>
      </c>
      <c r="X19" s="21"/>
      <c r="Y19" s="19">
        <v>0.0</v>
      </c>
      <c r="Z19" s="20">
        <f t="shared" si="7"/>
        <v>0</v>
      </c>
      <c r="AA19" s="21"/>
      <c r="AB19" s="19">
        <v>0.0</v>
      </c>
      <c r="AC19" s="20">
        <f t="shared" si="8"/>
        <v>0</v>
      </c>
      <c r="AD19" s="21"/>
      <c r="AE19" s="19">
        <v>0.0</v>
      </c>
      <c r="AF19" s="20">
        <f t="shared" si="9"/>
        <v>0</v>
      </c>
      <c r="AG19" s="21"/>
      <c r="AH19" s="19">
        <v>0.0</v>
      </c>
      <c r="AI19" s="20">
        <f t="shared" si="10"/>
        <v>0</v>
      </c>
      <c r="AJ19" s="21"/>
      <c r="AK19" s="19">
        <v>0.0</v>
      </c>
      <c r="AL19" s="20">
        <f t="shared" si="11"/>
        <v>0</v>
      </c>
      <c r="AM19" s="21"/>
      <c r="AN19" s="22">
        <f t="shared" si="12"/>
        <v>4</v>
      </c>
      <c r="AO19" s="22">
        <f t="shared" si="13"/>
        <v>0</v>
      </c>
    </row>
    <row r="20">
      <c r="A20" s="23"/>
      <c r="B20" s="23"/>
      <c r="C20" s="16" t="s">
        <v>47</v>
      </c>
      <c r="D20" s="17" t="s">
        <v>26</v>
      </c>
      <c r="E20" s="17" t="s">
        <v>27</v>
      </c>
      <c r="F20" s="26">
        <v>6.0</v>
      </c>
      <c r="G20" s="27">
        <v>3.0</v>
      </c>
      <c r="H20" s="20">
        <f t="shared" si="1"/>
        <v>3</v>
      </c>
      <c r="I20" s="28"/>
      <c r="J20" s="27">
        <v>3.0</v>
      </c>
      <c r="K20" s="20">
        <f t="shared" si="2"/>
        <v>0</v>
      </c>
      <c r="L20" s="28"/>
      <c r="M20" s="27">
        <v>0.0</v>
      </c>
      <c r="N20" s="20">
        <f t="shared" si="3"/>
        <v>0</v>
      </c>
      <c r="O20" s="28"/>
      <c r="P20" s="27">
        <v>0.0</v>
      </c>
      <c r="Q20" s="20">
        <f t="shared" si="4"/>
        <v>0</v>
      </c>
      <c r="R20" s="21"/>
      <c r="S20" s="19">
        <v>0.0</v>
      </c>
      <c r="T20" s="20">
        <f t="shared" si="5"/>
        <v>0</v>
      </c>
      <c r="U20" s="21"/>
      <c r="V20" s="16">
        <v>0.0</v>
      </c>
      <c r="W20" s="20">
        <f t="shared" si="6"/>
        <v>0</v>
      </c>
      <c r="X20" s="21"/>
      <c r="Y20" s="19">
        <v>0.0</v>
      </c>
      <c r="Z20" s="20">
        <f t="shared" si="7"/>
        <v>0</v>
      </c>
      <c r="AA20" s="21"/>
      <c r="AB20" s="19">
        <v>0.0</v>
      </c>
      <c r="AC20" s="20">
        <f t="shared" si="8"/>
        <v>0</v>
      </c>
      <c r="AD20" s="21"/>
      <c r="AE20" s="19">
        <v>0.0</v>
      </c>
      <c r="AF20" s="20">
        <f t="shared" si="9"/>
        <v>0</v>
      </c>
      <c r="AG20" s="21"/>
      <c r="AH20" s="19">
        <v>0.0</v>
      </c>
      <c r="AI20" s="20">
        <f t="shared" si="10"/>
        <v>0</v>
      </c>
      <c r="AJ20" s="21"/>
      <c r="AK20" s="19">
        <v>0.0</v>
      </c>
      <c r="AL20" s="20">
        <f t="shared" si="11"/>
        <v>0</v>
      </c>
      <c r="AM20" s="21"/>
      <c r="AN20" s="22">
        <f t="shared" si="12"/>
        <v>6</v>
      </c>
      <c r="AO20" s="22">
        <f t="shared" si="13"/>
        <v>0</v>
      </c>
    </row>
    <row r="21" ht="15.75" customHeight="1">
      <c r="A21" s="23"/>
      <c r="B21" s="23"/>
      <c r="C21" s="16" t="s">
        <v>48</v>
      </c>
      <c r="D21" s="17" t="s">
        <v>26</v>
      </c>
      <c r="E21" s="17" t="s">
        <v>27</v>
      </c>
      <c r="F21" s="26">
        <v>4.0</v>
      </c>
      <c r="G21" s="27">
        <v>2.0</v>
      </c>
      <c r="H21" s="20">
        <f t="shared" si="1"/>
        <v>2</v>
      </c>
      <c r="I21" s="28"/>
      <c r="J21" s="27">
        <v>2.0</v>
      </c>
      <c r="K21" s="20">
        <f t="shared" si="2"/>
        <v>0</v>
      </c>
      <c r="L21" s="28"/>
      <c r="M21" s="27">
        <v>0.0</v>
      </c>
      <c r="N21" s="20">
        <f t="shared" si="3"/>
        <v>0</v>
      </c>
      <c r="O21" s="28"/>
      <c r="P21" s="27">
        <v>0.0</v>
      </c>
      <c r="Q21" s="20">
        <f t="shared" si="4"/>
        <v>0</v>
      </c>
      <c r="R21" s="21"/>
      <c r="S21" s="19">
        <v>0.0</v>
      </c>
      <c r="T21" s="20">
        <f t="shared" si="5"/>
        <v>0</v>
      </c>
      <c r="U21" s="21"/>
      <c r="V21" s="16">
        <v>0.0</v>
      </c>
      <c r="W21" s="20">
        <f t="shared" si="6"/>
        <v>0</v>
      </c>
      <c r="X21" s="21"/>
      <c r="Y21" s="19">
        <v>0.0</v>
      </c>
      <c r="Z21" s="20">
        <f t="shared" si="7"/>
        <v>0</v>
      </c>
      <c r="AA21" s="21"/>
      <c r="AB21" s="19">
        <v>0.0</v>
      </c>
      <c r="AC21" s="20">
        <f t="shared" si="8"/>
        <v>0</v>
      </c>
      <c r="AD21" s="21"/>
      <c r="AE21" s="19">
        <v>0.0</v>
      </c>
      <c r="AF21" s="20">
        <f t="shared" si="9"/>
        <v>0</v>
      </c>
      <c r="AG21" s="21"/>
      <c r="AH21" s="19">
        <v>0.0</v>
      </c>
      <c r="AI21" s="20">
        <f t="shared" si="10"/>
        <v>0</v>
      </c>
      <c r="AJ21" s="21"/>
      <c r="AK21" s="19">
        <v>0.0</v>
      </c>
      <c r="AL21" s="20">
        <f t="shared" si="11"/>
        <v>0</v>
      </c>
      <c r="AM21" s="21"/>
      <c r="AN21" s="22">
        <f t="shared" si="12"/>
        <v>4</v>
      </c>
      <c r="AO21" s="22">
        <f t="shared" si="13"/>
        <v>0</v>
      </c>
    </row>
    <row r="22" ht="15.75" customHeight="1">
      <c r="A22" s="24"/>
      <c r="B22" s="24"/>
      <c r="C22" s="16" t="s">
        <v>49</v>
      </c>
      <c r="D22" s="17" t="s">
        <v>26</v>
      </c>
      <c r="E22" s="17" t="s">
        <v>27</v>
      </c>
      <c r="F22" s="26">
        <v>4.0</v>
      </c>
      <c r="G22" s="27">
        <v>2.0</v>
      </c>
      <c r="H22" s="20">
        <f t="shared" si="1"/>
        <v>2</v>
      </c>
      <c r="I22" s="28"/>
      <c r="J22" s="27">
        <v>2.0</v>
      </c>
      <c r="K22" s="20">
        <f t="shared" si="2"/>
        <v>0</v>
      </c>
      <c r="L22" s="28"/>
      <c r="M22" s="27">
        <v>0.0</v>
      </c>
      <c r="N22" s="20">
        <f t="shared" si="3"/>
        <v>0</v>
      </c>
      <c r="O22" s="28"/>
      <c r="P22" s="27">
        <v>0.0</v>
      </c>
      <c r="Q22" s="20">
        <f t="shared" si="4"/>
        <v>0</v>
      </c>
      <c r="R22" s="21"/>
      <c r="S22" s="19">
        <v>0.0</v>
      </c>
      <c r="T22" s="20">
        <f t="shared" si="5"/>
        <v>0</v>
      </c>
      <c r="U22" s="21"/>
      <c r="V22" s="16">
        <v>0.0</v>
      </c>
      <c r="W22" s="20">
        <f t="shared" si="6"/>
        <v>0</v>
      </c>
      <c r="X22" s="21"/>
      <c r="Y22" s="19">
        <v>0.0</v>
      </c>
      <c r="Z22" s="20">
        <f t="shared" si="7"/>
        <v>0</v>
      </c>
      <c r="AA22" s="21"/>
      <c r="AB22" s="19">
        <v>0.0</v>
      </c>
      <c r="AC22" s="20">
        <f t="shared" si="8"/>
        <v>0</v>
      </c>
      <c r="AD22" s="21"/>
      <c r="AE22" s="19">
        <v>0.0</v>
      </c>
      <c r="AF22" s="20">
        <f t="shared" si="9"/>
        <v>0</v>
      </c>
      <c r="AG22" s="21"/>
      <c r="AH22" s="19">
        <v>0.0</v>
      </c>
      <c r="AI22" s="20">
        <f t="shared" si="10"/>
        <v>0</v>
      </c>
      <c r="AJ22" s="21"/>
      <c r="AK22" s="19">
        <v>0.0</v>
      </c>
      <c r="AL22" s="20">
        <f t="shared" si="11"/>
        <v>0</v>
      </c>
      <c r="AM22" s="21"/>
      <c r="AN22" s="22">
        <f t="shared" si="12"/>
        <v>4</v>
      </c>
      <c r="AO22" s="22">
        <f t="shared" si="13"/>
        <v>0</v>
      </c>
    </row>
    <row r="23" ht="15.75" customHeight="1">
      <c r="A23" s="14" t="s">
        <v>50</v>
      </c>
      <c r="B23" s="15" t="s">
        <v>51</v>
      </c>
      <c r="C23" s="16" t="s">
        <v>52</v>
      </c>
      <c r="D23" s="17" t="s">
        <v>26</v>
      </c>
      <c r="E23" s="17" t="s">
        <v>27</v>
      </c>
      <c r="F23" s="26">
        <v>4.0</v>
      </c>
      <c r="G23" s="27">
        <v>0.0</v>
      </c>
      <c r="H23" s="20">
        <f t="shared" si="1"/>
        <v>4</v>
      </c>
      <c r="I23" s="28"/>
      <c r="J23" s="27">
        <v>0.0</v>
      </c>
      <c r="K23" s="20">
        <f t="shared" si="2"/>
        <v>4</v>
      </c>
      <c r="L23" s="28"/>
      <c r="M23" s="27">
        <v>0.0</v>
      </c>
      <c r="N23" s="20">
        <f t="shared" si="3"/>
        <v>4</v>
      </c>
      <c r="O23" s="28"/>
      <c r="P23" s="27">
        <v>0.0</v>
      </c>
      <c r="Q23" s="20">
        <f t="shared" si="4"/>
        <v>4</v>
      </c>
      <c r="R23" s="21"/>
      <c r="S23" s="19">
        <v>0.0</v>
      </c>
      <c r="T23" s="20">
        <f t="shared" si="5"/>
        <v>4</v>
      </c>
      <c r="U23" s="21"/>
      <c r="V23" s="16">
        <v>0.0</v>
      </c>
      <c r="W23" s="20">
        <f t="shared" si="6"/>
        <v>4</v>
      </c>
      <c r="X23" s="21"/>
      <c r="Y23" s="19">
        <v>2.0</v>
      </c>
      <c r="Z23" s="20">
        <f t="shared" si="7"/>
        <v>2</v>
      </c>
      <c r="AA23" s="21"/>
      <c r="AB23" s="19">
        <v>2.0</v>
      </c>
      <c r="AC23" s="20">
        <f t="shared" si="8"/>
        <v>0</v>
      </c>
      <c r="AD23" s="21"/>
      <c r="AE23" s="19">
        <v>0.0</v>
      </c>
      <c r="AF23" s="20">
        <f t="shared" si="9"/>
        <v>0</v>
      </c>
      <c r="AG23" s="21"/>
      <c r="AH23" s="19">
        <v>0.0</v>
      </c>
      <c r="AI23" s="20">
        <f t="shared" si="10"/>
        <v>0</v>
      </c>
      <c r="AJ23" s="21"/>
      <c r="AK23" s="19">
        <v>0.0</v>
      </c>
      <c r="AL23" s="20">
        <f t="shared" si="11"/>
        <v>0</v>
      </c>
      <c r="AM23" s="21"/>
      <c r="AN23" s="22">
        <f t="shared" si="12"/>
        <v>4</v>
      </c>
      <c r="AO23" s="22">
        <f t="shared" si="13"/>
        <v>0</v>
      </c>
    </row>
    <row r="24" ht="15.75" customHeight="1">
      <c r="A24" s="23"/>
      <c r="B24" s="23"/>
      <c r="C24" s="16" t="s">
        <v>53</v>
      </c>
      <c r="D24" s="17" t="s">
        <v>26</v>
      </c>
      <c r="E24" s="17" t="s">
        <v>27</v>
      </c>
      <c r="F24" s="26">
        <v>5.0</v>
      </c>
      <c r="G24" s="27">
        <v>0.0</v>
      </c>
      <c r="H24" s="20">
        <f t="shared" si="1"/>
        <v>5</v>
      </c>
      <c r="I24" s="28"/>
      <c r="J24" s="27">
        <v>0.0</v>
      </c>
      <c r="K24" s="20">
        <f t="shared" si="2"/>
        <v>5</v>
      </c>
      <c r="L24" s="28"/>
      <c r="M24" s="27">
        <v>0.0</v>
      </c>
      <c r="N24" s="20">
        <f t="shared" si="3"/>
        <v>5</v>
      </c>
      <c r="O24" s="28"/>
      <c r="P24" s="27">
        <v>0.0</v>
      </c>
      <c r="Q24" s="20">
        <f t="shared" si="4"/>
        <v>5</v>
      </c>
      <c r="R24" s="21"/>
      <c r="S24" s="19">
        <v>0.0</v>
      </c>
      <c r="T24" s="20">
        <f t="shared" si="5"/>
        <v>5</v>
      </c>
      <c r="U24" s="21"/>
      <c r="V24" s="16">
        <v>0.0</v>
      </c>
      <c r="W24" s="20">
        <f t="shared" si="6"/>
        <v>5</v>
      </c>
      <c r="X24" s="21"/>
      <c r="Y24" s="19">
        <v>2.5</v>
      </c>
      <c r="Z24" s="20">
        <f t="shared" si="7"/>
        <v>2.5</v>
      </c>
      <c r="AA24" s="21"/>
      <c r="AB24" s="19">
        <v>2.5</v>
      </c>
      <c r="AC24" s="20">
        <f t="shared" si="8"/>
        <v>0</v>
      </c>
      <c r="AD24" s="21"/>
      <c r="AE24" s="19">
        <v>0.0</v>
      </c>
      <c r="AF24" s="20">
        <f t="shared" si="9"/>
        <v>0</v>
      </c>
      <c r="AG24" s="21"/>
      <c r="AH24" s="19">
        <v>0.0</v>
      </c>
      <c r="AI24" s="20">
        <f t="shared" si="10"/>
        <v>0</v>
      </c>
      <c r="AJ24" s="21"/>
      <c r="AK24" s="19">
        <v>0.0</v>
      </c>
      <c r="AL24" s="20">
        <f t="shared" si="11"/>
        <v>0</v>
      </c>
      <c r="AM24" s="21"/>
      <c r="AN24" s="22">
        <f t="shared" si="12"/>
        <v>5</v>
      </c>
      <c r="AO24" s="22">
        <f t="shared" si="13"/>
        <v>0</v>
      </c>
    </row>
    <row r="25" ht="15.75" customHeight="1">
      <c r="A25" s="23"/>
      <c r="B25" s="23"/>
      <c r="C25" s="16" t="s">
        <v>54</v>
      </c>
      <c r="D25" s="17" t="s">
        <v>26</v>
      </c>
      <c r="E25" s="17" t="s">
        <v>27</v>
      </c>
      <c r="F25" s="26">
        <v>5.0</v>
      </c>
      <c r="G25" s="27">
        <v>0.0</v>
      </c>
      <c r="H25" s="20">
        <f t="shared" si="1"/>
        <v>5</v>
      </c>
      <c r="I25" s="28"/>
      <c r="J25" s="27">
        <v>0.0</v>
      </c>
      <c r="K25" s="20">
        <f t="shared" si="2"/>
        <v>5</v>
      </c>
      <c r="L25" s="28"/>
      <c r="M25" s="27">
        <v>0.0</v>
      </c>
      <c r="N25" s="20">
        <f t="shared" si="3"/>
        <v>5</v>
      </c>
      <c r="O25" s="28"/>
      <c r="P25" s="27">
        <v>0.0</v>
      </c>
      <c r="Q25" s="20">
        <f t="shared" si="4"/>
        <v>5</v>
      </c>
      <c r="R25" s="21"/>
      <c r="S25" s="19">
        <v>0.0</v>
      </c>
      <c r="T25" s="20">
        <f t="shared" si="5"/>
        <v>5</v>
      </c>
      <c r="U25" s="21"/>
      <c r="V25" s="16">
        <v>0.0</v>
      </c>
      <c r="W25" s="20">
        <f t="shared" si="6"/>
        <v>5</v>
      </c>
      <c r="X25" s="21"/>
      <c r="Y25" s="19">
        <v>2.5</v>
      </c>
      <c r="Z25" s="20">
        <f t="shared" si="7"/>
        <v>2.5</v>
      </c>
      <c r="AA25" s="21"/>
      <c r="AB25" s="19">
        <v>2.5</v>
      </c>
      <c r="AC25" s="20">
        <f t="shared" si="8"/>
        <v>0</v>
      </c>
      <c r="AD25" s="21"/>
      <c r="AE25" s="19">
        <v>0.0</v>
      </c>
      <c r="AF25" s="20">
        <f t="shared" si="9"/>
        <v>0</v>
      </c>
      <c r="AG25" s="21"/>
      <c r="AH25" s="19">
        <v>0.0</v>
      </c>
      <c r="AI25" s="20">
        <f t="shared" si="10"/>
        <v>0</v>
      </c>
      <c r="AJ25" s="21"/>
      <c r="AK25" s="19">
        <v>0.0</v>
      </c>
      <c r="AL25" s="20">
        <f t="shared" si="11"/>
        <v>0</v>
      </c>
      <c r="AM25" s="21"/>
      <c r="AN25" s="22">
        <f t="shared" si="12"/>
        <v>5</v>
      </c>
      <c r="AO25" s="22">
        <f t="shared" si="13"/>
        <v>0</v>
      </c>
    </row>
    <row r="26" ht="15.75" customHeight="1">
      <c r="A26" s="24"/>
      <c r="B26" s="24"/>
      <c r="C26" s="16" t="s">
        <v>55</v>
      </c>
      <c r="D26" s="17" t="s">
        <v>26</v>
      </c>
      <c r="E26" s="17" t="s">
        <v>27</v>
      </c>
      <c r="F26" s="26">
        <v>4.0</v>
      </c>
      <c r="G26" s="27">
        <v>0.0</v>
      </c>
      <c r="H26" s="20">
        <f t="shared" si="1"/>
        <v>4</v>
      </c>
      <c r="I26" s="28"/>
      <c r="J26" s="27">
        <v>0.0</v>
      </c>
      <c r="K26" s="20">
        <f t="shared" si="2"/>
        <v>4</v>
      </c>
      <c r="L26" s="28"/>
      <c r="M26" s="27">
        <v>0.0</v>
      </c>
      <c r="N26" s="20">
        <f t="shared" si="3"/>
        <v>4</v>
      </c>
      <c r="O26" s="28"/>
      <c r="P26" s="27">
        <v>0.0</v>
      </c>
      <c r="Q26" s="20">
        <f t="shared" si="4"/>
        <v>4</v>
      </c>
      <c r="R26" s="21"/>
      <c r="S26" s="19">
        <v>0.0</v>
      </c>
      <c r="T26" s="20">
        <f t="shared" si="5"/>
        <v>4</v>
      </c>
      <c r="U26" s="21"/>
      <c r="V26" s="16">
        <v>0.0</v>
      </c>
      <c r="W26" s="20">
        <f t="shared" si="6"/>
        <v>4</v>
      </c>
      <c r="X26" s="21"/>
      <c r="Y26" s="19">
        <v>2.0</v>
      </c>
      <c r="Z26" s="20">
        <f t="shared" si="7"/>
        <v>2</v>
      </c>
      <c r="AA26" s="21"/>
      <c r="AB26" s="19">
        <v>2.0</v>
      </c>
      <c r="AC26" s="20">
        <f t="shared" si="8"/>
        <v>0</v>
      </c>
      <c r="AD26" s="21"/>
      <c r="AE26" s="19">
        <v>0.0</v>
      </c>
      <c r="AF26" s="20">
        <f t="shared" si="9"/>
        <v>0</v>
      </c>
      <c r="AG26" s="21"/>
      <c r="AH26" s="19">
        <v>0.0</v>
      </c>
      <c r="AI26" s="20">
        <f t="shared" si="10"/>
        <v>0</v>
      </c>
      <c r="AJ26" s="21"/>
      <c r="AK26" s="19">
        <v>0.0</v>
      </c>
      <c r="AL26" s="20">
        <f t="shared" si="11"/>
        <v>0</v>
      </c>
      <c r="AM26" s="21"/>
      <c r="AN26" s="22">
        <f t="shared" si="12"/>
        <v>4</v>
      </c>
      <c r="AO26" s="22">
        <f t="shared" si="13"/>
        <v>0</v>
      </c>
    </row>
    <row r="27" ht="15.75" customHeight="1">
      <c r="A27" s="14" t="s">
        <v>56</v>
      </c>
      <c r="B27" s="15" t="s">
        <v>57</v>
      </c>
      <c r="C27" s="16" t="s">
        <v>58</v>
      </c>
      <c r="D27" s="17" t="s">
        <v>26</v>
      </c>
      <c r="E27" s="17" t="s">
        <v>27</v>
      </c>
      <c r="F27" s="26">
        <v>3.0</v>
      </c>
      <c r="G27" s="27">
        <v>1.5</v>
      </c>
      <c r="H27" s="20">
        <f t="shared" si="1"/>
        <v>1.5</v>
      </c>
      <c r="I27" s="28"/>
      <c r="J27" s="27">
        <v>1.5</v>
      </c>
      <c r="K27" s="20">
        <f t="shared" si="2"/>
        <v>0</v>
      </c>
      <c r="L27" s="28"/>
      <c r="M27" s="27">
        <v>0.0</v>
      </c>
      <c r="N27" s="20">
        <f t="shared" si="3"/>
        <v>0</v>
      </c>
      <c r="O27" s="28"/>
      <c r="P27" s="27">
        <v>0.0</v>
      </c>
      <c r="Q27" s="20">
        <f t="shared" si="4"/>
        <v>0</v>
      </c>
      <c r="R27" s="21"/>
      <c r="S27" s="19">
        <v>0.0</v>
      </c>
      <c r="T27" s="20">
        <f t="shared" si="5"/>
        <v>0</v>
      </c>
      <c r="U27" s="21"/>
      <c r="V27" s="16">
        <v>0.0</v>
      </c>
      <c r="W27" s="20">
        <f t="shared" si="6"/>
        <v>0</v>
      </c>
      <c r="X27" s="21"/>
      <c r="Y27" s="19">
        <v>0.0</v>
      </c>
      <c r="Z27" s="20">
        <f t="shared" si="7"/>
        <v>0</v>
      </c>
      <c r="AA27" s="21"/>
      <c r="AB27" s="19">
        <v>0.0</v>
      </c>
      <c r="AC27" s="20">
        <f t="shared" si="8"/>
        <v>0</v>
      </c>
      <c r="AD27" s="21"/>
      <c r="AE27" s="19">
        <v>0.0</v>
      </c>
      <c r="AF27" s="20">
        <f t="shared" si="9"/>
        <v>0</v>
      </c>
      <c r="AG27" s="21"/>
      <c r="AH27" s="19">
        <v>0.0</v>
      </c>
      <c r="AI27" s="20">
        <f t="shared" si="10"/>
        <v>0</v>
      </c>
      <c r="AJ27" s="21"/>
      <c r="AK27" s="19">
        <v>0.0</v>
      </c>
      <c r="AL27" s="20">
        <f t="shared" si="11"/>
        <v>0</v>
      </c>
      <c r="AM27" s="21"/>
      <c r="AN27" s="22">
        <f t="shared" si="12"/>
        <v>3</v>
      </c>
      <c r="AO27" s="22">
        <f t="shared" si="13"/>
        <v>0</v>
      </c>
    </row>
    <row r="28" ht="15.75" customHeight="1">
      <c r="A28" s="23"/>
      <c r="B28" s="23"/>
      <c r="C28" s="16" t="s">
        <v>59</v>
      </c>
      <c r="D28" s="17" t="s">
        <v>26</v>
      </c>
      <c r="E28" s="17" t="s">
        <v>27</v>
      </c>
      <c r="F28" s="26">
        <v>5.0</v>
      </c>
      <c r="G28" s="27">
        <v>2.5</v>
      </c>
      <c r="H28" s="20">
        <f t="shared" si="1"/>
        <v>2.5</v>
      </c>
      <c r="I28" s="28"/>
      <c r="J28" s="27">
        <v>2.5</v>
      </c>
      <c r="K28" s="20">
        <f t="shared" si="2"/>
        <v>0</v>
      </c>
      <c r="L28" s="28"/>
      <c r="M28" s="27">
        <v>0.0</v>
      </c>
      <c r="N28" s="20">
        <f t="shared" si="3"/>
        <v>0</v>
      </c>
      <c r="O28" s="28"/>
      <c r="P28" s="27">
        <v>0.0</v>
      </c>
      <c r="Q28" s="20">
        <f t="shared" si="4"/>
        <v>0</v>
      </c>
      <c r="R28" s="21"/>
      <c r="S28" s="19">
        <v>0.0</v>
      </c>
      <c r="T28" s="20">
        <f t="shared" si="5"/>
        <v>0</v>
      </c>
      <c r="U28" s="21"/>
      <c r="V28" s="16">
        <v>0.0</v>
      </c>
      <c r="W28" s="20">
        <f t="shared" si="6"/>
        <v>0</v>
      </c>
      <c r="X28" s="21"/>
      <c r="Y28" s="19">
        <v>0.0</v>
      </c>
      <c r="Z28" s="20">
        <f t="shared" si="7"/>
        <v>0</v>
      </c>
      <c r="AA28" s="21"/>
      <c r="AB28" s="19">
        <v>0.0</v>
      </c>
      <c r="AC28" s="20">
        <f t="shared" si="8"/>
        <v>0</v>
      </c>
      <c r="AD28" s="21"/>
      <c r="AE28" s="19">
        <v>0.0</v>
      </c>
      <c r="AF28" s="20">
        <f t="shared" si="9"/>
        <v>0</v>
      </c>
      <c r="AG28" s="21"/>
      <c r="AH28" s="19">
        <v>0.0</v>
      </c>
      <c r="AI28" s="20">
        <f t="shared" si="10"/>
        <v>0</v>
      </c>
      <c r="AJ28" s="21"/>
      <c r="AK28" s="19">
        <v>0.0</v>
      </c>
      <c r="AL28" s="20">
        <f t="shared" si="11"/>
        <v>0</v>
      </c>
      <c r="AM28" s="21"/>
      <c r="AN28" s="22">
        <f t="shared" si="12"/>
        <v>5</v>
      </c>
      <c r="AO28" s="22">
        <f t="shared" si="13"/>
        <v>0</v>
      </c>
    </row>
    <row r="29" ht="15.75" customHeight="1">
      <c r="A29" s="23"/>
      <c r="B29" s="23"/>
      <c r="C29" s="16" t="s">
        <v>60</v>
      </c>
      <c r="D29" s="17" t="s">
        <v>26</v>
      </c>
      <c r="E29" s="17" t="s">
        <v>27</v>
      </c>
      <c r="F29" s="26">
        <v>3.0</v>
      </c>
      <c r="G29" s="27">
        <v>1.5</v>
      </c>
      <c r="H29" s="20">
        <f t="shared" si="1"/>
        <v>1.5</v>
      </c>
      <c r="I29" s="28"/>
      <c r="J29" s="27">
        <v>1.5</v>
      </c>
      <c r="K29" s="20">
        <f t="shared" si="2"/>
        <v>0</v>
      </c>
      <c r="L29" s="28"/>
      <c r="M29" s="27">
        <v>0.0</v>
      </c>
      <c r="N29" s="20">
        <f t="shared" si="3"/>
        <v>0</v>
      </c>
      <c r="O29" s="28"/>
      <c r="P29" s="27">
        <v>0.0</v>
      </c>
      <c r="Q29" s="20">
        <f t="shared" si="4"/>
        <v>0</v>
      </c>
      <c r="R29" s="21"/>
      <c r="S29" s="19">
        <v>0.0</v>
      </c>
      <c r="T29" s="20">
        <f t="shared" si="5"/>
        <v>0</v>
      </c>
      <c r="U29" s="21"/>
      <c r="V29" s="16">
        <v>0.0</v>
      </c>
      <c r="W29" s="20">
        <f t="shared" si="6"/>
        <v>0</v>
      </c>
      <c r="X29" s="21"/>
      <c r="Y29" s="19">
        <v>0.0</v>
      </c>
      <c r="Z29" s="20">
        <f t="shared" si="7"/>
        <v>0</v>
      </c>
      <c r="AA29" s="21"/>
      <c r="AB29" s="19">
        <v>0.0</v>
      </c>
      <c r="AC29" s="20">
        <f t="shared" si="8"/>
        <v>0</v>
      </c>
      <c r="AD29" s="21"/>
      <c r="AE29" s="19">
        <v>0.0</v>
      </c>
      <c r="AF29" s="20">
        <f t="shared" si="9"/>
        <v>0</v>
      </c>
      <c r="AG29" s="21"/>
      <c r="AH29" s="19">
        <v>0.0</v>
      </c>
      <c r="AI29" s="20">
        <f t="shared" si="10"/>
        <v>0</v>
      </c>
      <c r="AJ29" s="21"/>
      <c r="AK29" s="19">
        <v>0.0</v>
      </c>
      <c r="AL29" s="20">
        <f t="shared" si="11"/>
        <v>0</v>
      </c>
      <c r="AM29" s="21"/>
      <c r="AN29" s="22">
        <f t="shared" si="12"/>
        <v>3</v>
      </c>
      <c r="AO29" s="22">
        <f t="shared" si="13"/>
        <v>0</v>
      </c>
    </row>
    <row r="30" ht="15.75" customHeight="1">
      <c r="A30" s="24"/>
      <c r="B30" s="24"/>
      <c r="C30" s="16" t="s">
        <v>61</v>
      </c>
      <c r="D30" s="17" t="s">
        <v>26</v>
      </c>
      <c r="E30" s="17" t="s">
        <v>27</v>
      </c>
      <c r="F30" s="26">
        <v>3.0</v>
      </c>
      <c r="G30" s="27">
        <v>1.5</v>
      </c>
      <c r="H30" s="20">
        <f t="shared" si="1"/>
        <v>1.5</v>
      </c>
      <c r="I30" s="28"/>
      <c r="J30" s="27">
        <v>1.5</v>
      </c>
      <c r="K30" s="20">
        <f t="shared" si="2"/>
        <v>0</v>
      </c>
      <c r="L30" s="28"/>
      <c r="M30" s="27">
        <v>0.0</v>
      </c>
      <c r="N30" s="20">
        <f t="shared" si="3"/>
        <v>0</v>
      </c>
      <c r="O30" s="28"/>
      <c r="P30" s="27">
        <v>0.0</v>
      </c>
      <c r="Q30" s="20">
        <f t="shared" si="4"/>
        <v>0</v>
      </c>
      <c r="R30" s="21"/>
      <c r="S30" s="19">
        <v>0.0</v>
      </c>
      <c r="T30" s="20">
        <f t="shared" si="5"/>
        <v>0</v>
      </c>
      <c r="U30" s="21"/>
      <c r="V30" s="16">
        <v>0.0</v>
      </c>
      <c r="W30" s="20">
        <f t="shared" si="6"/>
        <v>0</v>
      </c>
      <c r="X30" s="21"/>
      <c r="Y30" s="19">
        <v>0.0</v>
      </c>
      <c r="Z30" s="20">
        <f t="shared" si="7"/>
        <v>0</v>
      </c>
      <c r="AA30" s="21"/>
      <c r="AB30" s="19">
        <v>0.0</v>
      </c>
      <c r="AC30" s="20">
        <f t="shared" si="8"/>
        <v>0</v>
      </c>
      <c r="AD30" s="21"/>
      <c r="AE30" s="19">
        <v>0.0</v>
      </c>
      <c r="AF30" s="20">
        <f t="shared" si="9"/>
        <v>0</v>
      </c>
      <c r="AG30" s="21"/>
      <c r="AH30" s="19">
        <v>0.0</v>
      </c>
      <c r="AI30" s="20">
        <f t="shared" si="10"/>
        <v>0</v>
      </c>
      <c r="AJ30" s="21"/>
      <c r="AK30" s="19">
        <v>0.0</v>
      </c>
      <c r="AL30" s="20">
        <f t="shared" si="11"/>
        <v>0</v>
      </c>
      <c r="AM30" s="21"/>
      <c r="AN30" s="22">
        <f t="shared" si="12"/>
        <v>3</v>
      </c>
      <c r="AO30" s="22">
        <f t="shared" si="13"/>
        <v>0</v>
      </c>
    </row>
    <row r="31" ht="15.75" customHeight="1">
      <c r="A31" s="14" t="s">
        <v>62</v>
      </c>
      <c r="B31" s="15" t="s">
        <v>63</v>
      </c>
      <c r="C31" s="16" t="s">
        <v>64</v>
      </c>
      <c r="D31" s="17" t="s">
        <v>26</v>
      </c>
      <c r="E31" s="17" t="s">
        <v>27</v>
      </c>
      <c r="F31" s="26">
        <v>6.0</v>
      </c>
      <c r="G31" s="27">
        <v>0.0</v>
      </c>
      <c r="H31" s="20">
        <f t="shared" si="1"/>
        <v>6</v>
      </c>
      <c r="I31" s="28"/>
      <c r="J31" s="27">
        <v>0.0</v>
      </c>
      <c r="K31" s="20">
        <f t="shared" si="2"/>
        <v>6</v>
      </c>
      <c r="L31" s="28"/>
      <c r="M31" s="27">
        <v>0.0</v>
      </c>
      <c r="N31" s="20">
        <f t="shared" si="3"/>
        <v>6</v>
      </c>
      <c r="O31" s="28"/>
      <c r="P31" s="27">
        <v>0.0</v>
      </c>
      <c r="Q31" s="20">
        <f t="shared" si="4"/>
        <v>6</v>
      </c>
      <c r="R31" s="21"/>
      <c r="S31" s="19">
        <v>0.0</v>
      </c>
      <c r="T31" s="20">
        <f t="shared" si="5"/>
        <v>6</v>
      </c>
      <c r="U31" s="21"/>
      <c r="V31" s="16">
        <v>0.0</v>
      </c>
      <c r="W31" s="20">
        <f t="shared" si="6"/>
        <v>6</v>
      </c>
      <c r="X31" s="21"/>
      <c r="Y31" s="19">
        <v>3.0</v>
      </c>
      <c r="Z31" s="20">
        <f t="shared" si="7"/>
        <v>3</v>
      </c>
      <c r="AA31" s="21"/>
      <c r="AB31" s="19">
        <v>3.0</v>
      </c>
      <c r="AC31" s="20">
        <f t="shared" si="8"/>
        <v>0</v>
      </c>
      <c r="AD31" s="21"/>
      <c r="AE31" s="19">
        <v>0.0</v>
      </c>
      <c r="AF31" s="20">
        <f t="shared" si="9"/>
        <v>0</v>
      </c>
      <c r="AG31" s="21"/>
      <c r="AH31" s="19">
        <v>0.0</v>
      </c>
      <c r="AI31" s="20">
        <f t="shared" si="10"/>
        <v>0</v>
      </c>
      <c r="AJ31" s="21"/>
      <c r="AK31" s="19">
        <v>0.0</v>
      </c>
      <c r="AL31" s="20">
        <f t="shared" si="11"/>
        <v>0</v>
      </c>
      <c r="AM31" s="21"/>
      <c r="AN31" s="22">
        <f t="shared" si="12"/>
        <v>6</v>
      </c>
      <c r="AO31" s="22">
        <f t="shared" si="13"/>
        <v>0</v>
      </c>
    </row>
    <row r="32" ht="15.75" customHeight="1">
      <c r="A32" s="23"/>
      <c r="B32" s="23"/>
      <c r="C32" s="16" t="s">
        <v>65</v>
      </c>
      <c r="D32" s="17" t="s">
        <v>26</v>
      </c>
      <c r="E32" s="17" t="s">
        <v>27</v>
      </c>
      <c r="F32" s="26">
        <v>3.0</v>
      </c>
      <c r="G32" s="27">
        <v>0.0</v>
      </c>
      <c r="H32" s="20">
        <f t="shared" si="1"/>
        <v>3</v>
      </c>
      <c r="I32" s="28"/>
      <c r="J32" s="27">
        <v>0.0</v>
      </c>
      <c r="K32" s="20">
        <f t="shared" si="2"/>
        <v>3</v>
      </c>
      <c r="L32" s="28"/>
      <c r="M32" s="27">
        <v>0.0</v>
      </c>
      <c r="N32" s="20">
        <f t="shared" si="3"/>
        <v>3</v>
      </c>
      <c r="O32" s="28"/>
      <c r="P32" s="27">
        <v>0.0</v>
      </c>
      <c r="Q32" s="20">
        <f t="shared" si="4"/>
        <v>3</v>
      </c>
      <c r="R32" s="21"/>
      <c r="S32" s="19">
        <v>0.0</v>
      </c>
      <c r="T32" s="20">
        <f t="shared" si="5"/>
        <v>3</v>
      </c>
      <c r="U32" s="21"/>
      <c r="V32" s="16">
        <v>0.0</v>
      </c>
      <c r="W32" s="20">
        <f t="shared" si="6"/>
        <v>3</v>
      </c>
      <c r="X32" s="21"/>
      <c r="Y32" s="19">
        <v>1.5</v>
      </c>
      <c r="Z32" s="20">
        <f t="shared" si="7"/>
        <v>1.5</v>
      </c>
      <c r="AA32" s="21"/>
      <c r="AB32" s="19">
        <v>1.5</v>
      </c>
      <c r="AC32" s="20">
        <f t="shared" si="8"/>
        <v>0</v>
      </c>
      <c r="AD32" s="21"/>
      <c r="AE32" s="19">
        <v>0.0</v>
      </c>
      <c r="AF32" s="20">
        <f t="shared" si="9"/>
        <v>0</v>
      </c>
      <c r="AG32" s="21"/>
      <c r="AH32" s="19">
        <v>0.0</v>
      </c>
      <c r="AI32" s="20">
        <f t="shared" si="10"/>
        <v>0</v>
      </c>
      <c r="AJ32" s="21"/>
      <c r="AK32" s="19">
        <v>0.0</v>
      </c>
      <c r="AL32" s="20">
        <f t="shared" si="11"/>
        <v>0</v>
      </c>
      <c r="AM32" s="21"/>
      <c r="AN32" s="22">
        <f t="shared" si="12"/>
        <v>3</v>
      </c>
      <c r="AO32" s="22">
        <f t="shared" si="13"/>
        <v>0</v>
      </c>
    </row>
    <row r="33" ht="15.75" customHeight="1">
      <c r="A33" s="23"/>
      <c r="B33" s="23"/>
      <c r="C33" s="16" t="s">
        <v>66</v>
      </c>
      <c r="D33" s="17" t="s">
        <v>26</v>
      </c>
      <c r="E33" s="17" t="s">
        <v>27</v>
      </c>
      <c r="F33" s="26">
        <v>5.0</v>
      </c>
      <c r="G33" s="27">
        <v>0.0</v>
      </c>
      <c r="H33" s="20">
        <f t="shared" si="1"/>
        <v>5</v>
      </c>
      <c r="I33" s="28"/>
      <c r="J33" s="27">
        <v>0.0</v>
      </c>
      <c r="K33" s="20">
        <f t="shared" si="2"/>
        <v>5</v>
      </c>
      <c r="L33" s="28"/>
      <c r="M33" s="27">
        <v>0.0</v>
      </c>
      <c r="N33" s="20">
        <f t="shared" si="3"/>
        <v>5</v>
      </c>
      <c r="O33" s="28"/>
      <c r="P33" s="27">
        <v>0.0</v>
      </c>
      <c r="Q33" s="20">
        <f t="shared" si="4"/>
        <v>5</v>
      </c>
      <c r="R33" s="21"/>
      <c r="S33" s="19">
        <v>0.0</v>
      </c>
      <c r="T33" s="20">
        <f t="shared" si="5"/>
        <v>5</v>
      </c>
      <c r="U33" s="21"/>
      <c r="V33" s="16">
        <v>0.0</v>
      </c>
      <c r="W33" s="20">
        <f t="shared" si="6"/>
        <v>5</v>
      </c>
      <c r="X33" s="21"/>
      <c r="Y33" s="19">
        <v>2.5</v>
      </c>
      <c r="Z33" s="20">
        <f t="shared" si="7"/>
        <v>2.5</v>
      </c>
      <c r="AA33" s="21"/>
      <c r="AB33" s="19">
        <v>2.5</v>
      </c>
      <c r="AC33" s="20">
        <f t="shared" si="8"/>
        <v>0</v>
      </c>
      <c r="AD33" s="21"/>
      <c r="AE33" s="19">
        <v>0.0</v>
      </c>
      <c r="AF33" s="20">
        <f t="shared" si="9"/>
        <v>0</v>
      </c>
      <c r="AG33" s="21"/>
      <c r="AH33" s="19">
        <v>0.0</v>
      </c>
      <c r="AI33" s="20">
        <f t="shared" si="10"/>
        <v>0</v>
      </c>
      <c r="AJ33" s="21"/>
      <c r="AK33" s="19">
        <v>0.0</v>
      </c>
      <c r="AL33" s="20">
        <f t="shared" si="11"/>
        <v>0</v>
      </c>
      <c r="AM33" s="21"/>
      <c r="AN33" s="22">
        <f t="shared" si="12"/>
        <v>5</v>
      </c>
      <c r="AO33" s="22">
        <f t="shared" si="13"/>
        <v>0</v>
      </c>
    </row>
    <row r="34" ht="15.75" customHeight="1">
      <c r="A34" s="24"/>
      <c r="B34" s="24"/>
      <c r="C34" s="16" t="s">
        <v>67</v>
      </c>
      <c r="D34" s="17" t="s">
        <v>26</v>
      </c>
      <c r="E34" s="17" t="s">
        <v>27</v>
      </c>
      <c r="F34" s="26">
        <v>4.0</v>
      </c>
      <c r="G34" s="27">
        <v>0.0</v>
      </c>
      <c r="H34" s="20">
        <f t="shared" si="1"/>
        <v>4</v>
      </c>
      <c r="I34" s="28"/>
      <c r="J34" s="27">
        <v>0.0</v>
      </c>
      <c r="K34" s="20">
        <f t="shared" si="2"/>
        <v>4</v>
      </c>
      <c r="L34" s="28"/>
      <c r="M34" s="27">
        <v>0.0</v>
      </c>
      <c r="N34" s="20">
        <f t="shared" si="3"/>
        <v>4</v>
      </c>
      <c r="O34" s="28"/>
      <c r="P34" s="27">
        <v>0.0</v>
      </c>
      <c r="Q34" s="20">
        <f t="shared" si="4"/>
        <v>4</v>
      </c>
      <c r="R34" s="21"/>
      <c r="S34" s="19">
        <v>0.0</v>
      </c>
      <c r="T34" s="20">
        <f t="shared" si="5"/>
        <v>4</v>
      </c>
      <c r="U34" s="21"/>
      <c r="V34" s="16">
        <v>0.0</v>
      </c>
      <c r="W34" s="20">
        <f t="shared" si="6"/>
        <v>4</v>
      </c>
      <c r="X34" s="21"/>
      <c r="Y34" s="19">
        <v>2.0</v>
      </c>
      <c r="Z34" s="20">
        <f t="shared" si="7"/>
        <v>2</v>
      </c>
      <c r="AA34" s="21"/>
      <c r="AB34" s="19">
        <v>2.0</v>
      </c>
      <c r="AC34" s="20">
        <f t="shared" si="8"/>
        <v>0</v>
      </c>
      <c r="AD34" s="21"/>
      <c r="AE34" s="19">
        <v>0.0</v>
      </c>
      <c r="AF34" s="20">
        <f t="shared" si="9"/>
        <v>0</v>
      </c>
      <c r="AG34" s="21"/>
      <c r="AH34" s="19">
        <v>0.0</v>
      </c>
      <c r="AI34" s="20">
        <f t="shared" si="10"/>
        <v>0</v>
      </c>
      <c r="AJ34" s="21"/>
      <c r="AK34" s="19">
        <v>0.0</v>
      </c>
      <c r="AL34" s="20">
        <f t="shared" si="11"/>
        <v>0</v>
      </c>
      <c r="AM34" s="21"/>
      <c r="AN34" s="22">
        <f t="shared" si="12"/>
        <v>4</v>
      </c>
      <c r="AO34" s="22">
        <f t="shared" si="13"/>
        <v>0</v>
      </c>
    </row>
    <row r="35" ht="15.75" customHeight="1">
      <c r="A35" s="14" t="s">
        <v>68</v>
      </c>
      <c r="B35" s="15" t="s">
        <v>69</v>
      </c>
      <c r="C35" s="25" t="s">
        <v>70</v>
      </c>
      <c r="D35" s="17" t="s">
        <v>26</v>
      </c>
      <c r="E35" s="17" t="s">
        <v>27</v>
      </c>
      <c r="F35" s="26">
        <v>4.0</v>
      </c>
      <c r="G35" s="27">
        <v>0.0</v>
      </c>
      <c r="H35" s="20">
        <f t="shared" si="1"/>
        <v>4</v>
      </c>
      <c r="I35" s="28"/>
      <c r="J35" s="27">
        <v>0.0</v>
      </c>
      <c r="K35" s="20">
        <f t="shared" si="2"/>
        <v>4</v>
      </c>
      <c r="L35" s="28"/>
      <c r="M35" s="27">
        <v>0.0</v>
      </c>
      <c r="N35" s="20">
        <f t="shared" si="3"/>
        <v>4</v>
      </c>
      <c r="O35" s="28"/>
      <c r="P35" s="27">
        <v>0.0</v>
      </c>
      <c r="Q35" s="20">
        <f t="shared" si="4"/>
        <v>4</v>
      </c>
      <c r="R35" s="21"/>
      <c r="S35" s="19">
        <v>2.0</v>
      </c>
      <c r="T35" s="20">
        <f t="shared" si="5"/>
        <v>2</v>
      </c>
      <c r="U35" s="21"/>
      <c r="V35" s="16">
        <v>2.0</v>
      </c>
      <c r="W35" s="20">
        <f t="shared" si="6"/>
        <v>0</v>
      </c>
      <c r="X35" s="21"/>
      <c r="Y35" s="19">
        <v>0.0</v>
      </c>
      <c r="Z35" s="20">
        <f t="shared" si="7"/>
        <v>0</v>
      </c>
      <c r="AA35" s="21"/>
      <c r="AB35" s="19">
        <v>0.0</v>
      </c>
      <c r="AC35" s="20">
        <f t="shared" si="8"/>
        <v>0</v>
      </c>
      <c r="AD35" s="21"/>
      <c r="AE35" s="19">
        <v>0.0</v>
      </c>
      <c r="AF35" s="20">
        <f t="shared" si="9"/>
        <v>0</v>
      </c>
      <c r="AG35" s="21"/>
      <c r="AH35" s="19">
        <v>0.0</v>
      </c>
      <c r="AI35" s="20">
        <f t="shared" si="10"/>
        <v>0</v>
      </c>
      <c r="AJ35" s="21"/>
      <c r="AK35" s="19">
        <v>0.0</v>
      </c>
      <c r="AL35" s="20">
        <f t="shared" si="11"/>
        <v>0</v>
      </c>
      <c r="AM35" s="21"/>
      <c r="AN35" s="22">
        <f t="shared" si="12"/>
        <v>4</v>
      </c>
      <c r="AO35" s="22">
        <f t="shared" si="13"/>
        <v>0</v>
      </c>
    </row>
    <row r="36" ht="15.75" customHeight="1">
      <c r="A36" s="23"/>
      <c r="B36" s="23"/>
      <c r="C36" s="25" t="s">
        <v>71</v>
      </c>
      <c r="D36" s="17" t="s">
        <v>26</v>
      </c>
      <c r="E36" s="17" t="s">
        <v>27</v>
      </c>
      <c r="F36" s="26">
        <v>5.0</v>
      </c>
      <c r="G36" s="27">
        <v>0.0</v>
      </c>
      <c r="H36" s="20">
        <f t="shared" si="1"/>
        <v>5</v>
      </c>
      <c r="I36" s="28"/>
      <c r="J36" s="27">
        <v>0.0</v>
      </c>
      <c r="K36" s="20">
        <f t="shared" si="2"/>
        <v>5</v>
      </c>
      <c r="L36" s="28"/>
      <c r="M36" s="27">
        <v>0.0</v>
      </c>
      <c r="N36" s="20">
        <f t="shared" si="3"/>
        <v>5</v>
      </c>
      <c r="O36" s="28"/>
      <c r="P36" s="27">
        <v>0.0</v>
      </c>
      <c r="Q36" s="20">
        <f t="shared" si="4"/>
        <v>5</v>
      </c>
      <c r="R36" s="21"/>
      <c r="S36" s="19">
        <v>2.5</v>
      </c>
      <c r="T36" s="20">
        <f t="shared" si="5"/>
        <v>2.5</v>
      </c>
      <c r="U36" s="21"/>
      <c r="V36" s="16">
        <v>2.5</v>
      </c>
      <c r="W36" s="20">
        <f t="shared" si="6"/>
        <v>0</v>
      </c>
      <c r="X36" s="21"/>
      <c r="Y36" s="19">
        <v>0.0</v>
      </c>
      <c r="Z36" s="20">
        <f t="shared" si="7"/>
        <v>0</v>
      </c>
      <c r="AA36" s="21"/>
      <c r="AB36" s="19">
        <v>0.0</v>
      </c>
      <c r="AC36" s="20">
        <f t="shared" si="8"/>
        <v>0</v>
      </c>
      <c r="AD36" s="21"/>
      <c r="AE36" s="19">
        <v>0.0</v>
      </c>
      <c r="AF36" s="20">
        <f t="shared" si="9"/>
        <v>0</v>
      </c>
      <c r="AG36" s="21"/>
      <c r="AH36" s="19">
        <v>0.0</v>
      </c>
      <c r="AI36" s="20">
        <f t="shared" si="10"/>
        <v>0</v>
      </c>
      <c r="AJ36" s="21"/>
      <c r="AK36" s="19">
        <v>0.0</v>
      </c>
      <c r="AL36" s="20">
        <f t="shared" si="11"/>
        <v>0</v>
      </c>
      <c r="AM36" s="21"/>
      <c r="AN36" s="22">
        <f t="shared" si="12"/>
        <v>5</v>
      </c>
      <c r="AO36" s="22">
        <f t="shared" si="13"/>
        <v>0</v>
      </c>
    </row>
    <row r="37" ht="15.75" customHeight="1">
      <c r="A37" s="23"/>
      <c r="B37" s="23"/>
      <c r="C37" s="25" t="s">
        <v>72</v>
      </c>
      <c r="D37" s="17" t="s">
        <v>26</v>
      </c>
      <c r="E37" s="17" t="s">
        <v>27</v>
      </c>
      <c r="F37" s="26">
        <v>4.0</v>
      </c>
      <c r="G37" s="27">
        <v>0.0</v>
      </c>
      <c r="H37" s="20">
        <f t="shared" si="1"/>
        <v>4</v>
      </c>
      <c r="I37" s="28"/>
      <c r="J37" s="27">
        <v>0.0</v>
      </c>
      <c r="K37" s="20">
        <f t="shared" si="2"/>
        <v>4</v>
      </c>
      <c r="L37" s="28"/>
      <c r="M37" s="27">
        <v>0.0</v>
      </c>
      <c r="N37" s="20">
        <f t="shared" si="3"/>
        <v>4</v>
      </c>
      <c r="O37" s="28"/>
      <c r="P37" s="27">
        <v>0.0</v>
      </c>
      <c r="Q37" s="20">
        <f t="shared" si="4"/>
        <v>4</v>
      </c>
      <c r="R37" s="21"/>
      <c r="S37" s="19">
        <v>2.0</v>
      </c>
      <c r="T37" s="20">
        <f t="shared" si="5"/>
        <v>2</v>
      </c>
      <c r="U37" s="21"/>
      <c r="V37" s="16">
        <v>2.0</v>
      </c>
      <c r="W37" s="20">
        <f t="shared" si="6"/>
        <v>0</v>
      </c>
      <c r="X37" s="21"/>
      <c r="Y37" s="19">
        <v>0.0</v>
      </c>
      <c r="Z37" s="20">
        <f t="shared" si="7"/>
        <v>0</v>
      </c>
      <c r="AA37" s="21"/>
      <c r="AB37" s="19">
        <v>0.0</v>
      </c>
      <c r="AC37" s="20">
        <f t="shared" si="8"/>
        <v>0</v>
      </c>
      <c r="AD37" s="21"/>
      <c r="AE37" s="19">
        <v>0.0</v>
      </c>
      <c r="AF37" s="20">
        <f t="shared" si="9"/>
        <v>0</v>
      </c>
      <c r="AG37" s="21"/>
      <c r="AH37" s="19">
        <v>0.0</v>
      </c>
      <c r="AI37" s="20">
        <f t="shared" si="10"/>
        <v>0</v>
      </c>
      <c r="AJ37" s="21"/>
      <c r="AK37" s="19">
        <v>0.0</v>
      </c>
      <c r="AL37" s="20">
        <f t="shared" si="11"/>
        <v>0</v>
      </c>
      <c r="AM37" s="21"/>
      <c r="AN37" s="22">
        <f t="shared" si="12"/>
        <v>4</v>
      </c>
      <c r="AO37" s="22">
        <f t="shared" si="13"/>
        <v>0</v>
      </c>
    </row>
    <row r="38" ht="15.75" customHeight="1">
      <c r="A38" s="24"/>
      <c r="B38" s="24"/>
      <c r="C38" s="25" t="s">
        <v>73</v>
      </c>
      <c r="D38" s="17" t="s">
        <v>26</v>
      </c>
      <c r="E38" s="17" t="s">
        <v>27</v>
      </c>
      <c r="F38" s="26">
        <v>3.0</v>
      </c>
      <c r="G38" s="27">
        <v>0.0</v>
      </c>
      <c r="H38" s="20">
        <f t="shared" si="1"/>
        <v>3</v>
      </c>
      <c r="I38" s="28"/>
      <c r="J38" s="27">
        <v>0.0</v>
      </c>
      <c r="K38" s="20">
        <f t="shared" si="2"/>
        <v>3</v>
      </c>
      <c r="L38" s="28"/>
      <c r="M38" s="27">
        <v>0.0</v>
      </c>
      <c r="N38" s="20">
        <f t="shared" si="3"/>
        <v>3</v>
      </c>
      <c r="O38" s="28"/>
      <c r="P38" s="27">
        <v>0.0</v>
      </c>
      <c r="Q38" s="20">
        <f t="shared" si="4"/>
        <v>3</v>
      </c>
      <c r="R38" s="21"/>
      <c r="S38" s="19">
        <v>1.5</v>
      </c>
      <c r="T38" s="20">
        <f t="shared" si="5"/>
        <v>1.5</v>
      </c>
      <c r="U38" s="21"/>
      <c r="V38" s="16">
        <v>1.5</v>
      </c>
      <c r="W38" s="20">
        <f t="shared" si="6"/>
        <v>0</v>
      </c>
      <c r="X38" s="21"/>
      <c r="Y38" s="19">
        <v>0.0</v>
      </c>
      <c r="Z38" s="20">
        <f t="shared" si="7"/>
        <v>0</v>
      </c>
      <c r="AA38" s="21"/>
      <c r="AB38" s="19">
        <v>0.0</v>
      </c>
      <c r="AC38" s="20">
        <f t="shared" si="8"/>
        <v>0</v>
      </c>
      <c r="AD38" s="21"/>
      <c r="AE38" s="19">
        <v>0.0</v>
      </c>
      <c r="AF38" s="20">
        <f t="shared" si="9"/>
        <v>0</v>
      </c>
      <c r="AG38" s="21"/>
      <c r="AH38" s="19">
        <v>0.0</v>
      </c>
      <c r="AI38" s="20">
        <f t="shared" si="10"/>
        <v>0</v>
      </c>
      <c r="AJ38" s="21"/>
      <c r="AK38" s="19">
        <v>0.0</v>
      </c>
      <c r="AL38" s="20">
        <f t="shared" si="11"/>
        <v>0</v>
      </c>
      <c r="AM38" s="21"/>
      <c r="AN38" s="22">
        <f t="shared" si="12"/>
        <v>3</v>
      </c>
      <c r="AO38" s="22">
        <f t="shared" si="13"/>
        <v>0</v>
      </c>
    </row>
    <row r="39" ht="15.75" customHeight="1">
      <c r="A39" s="14" t="s">
        <v>74</v>
      </c>
      <c r="B39" s="15" t="s">
        <v>75</v>
      </c>
      <c r="C39" s="25" t="s">
        <v>76</v>
      </c>
      <c r="D39" s="17" t="s">
        <v>26</v>
      </c>
      <c r="E39" s="17" t="s">
        <v>27</v>
      </c>
      <c r="F39" s="26">
        <v>3.0</v>
      </c>
      <c r="G39" s="27">
        <v>0.0</v>
      </c>
      <c r="H39" s="20">
        <f t="shared" si="1"/>
        <v>3</v>
      </c>
      <c r="I39" s="28"/>
      <c r="J39" s="27">
        <v>0.0</v>
      </c>
      <c r="K39" s="20">
        <f t="shared" si="2"/>
        <v>3</v>
      </c>
      <c r="L39" s="28"/>
      <c r="M39" s="27">
        <v>0.0</v>
      </c>
      <c r="N39" s="20">
        <f t="shared" si="3"/>
        <v>3</v>
      </c>
      <c r="O39" s="28"/>
      <c r="P39" s="27">
        <v>0.0</v>
      </c>
      <c r="Q39" s="20">
        <f t="shared" si="4"/>
        <v>3</v>
      </c>
      <c r="R39" s="21"/>
      <c r="S39" s="19">
        <v>0.0</v>
      </c>
      <c r="T39" s="20">
        <f t="shared" si="5"/>
        <v>3</v>
      </c>
      <c r="U39" s="21"/>
      <c r="V39" s="16">
        <v>0.0</v>
      </c>
      <c r="W39" s="20">
        <f t="shared" si="6"/>
        <v>3</v>
      </c>
      <c r="X39" s="21"/>
      <c r="Y39" s="19">
        <v>0.0</v>
      </c>
      <c r="Z39" s="20">
        <f t="shared" si="7"/>
        <v>3</v>
      </c>
      <c r="AA39" s="21"/>
      <c r="AB39" s="19">
        <v>0.0</v>
      </c>
      <c r="AC39" s="20">
        <f t="shared" si="8"/>
        <v>3</v>
      </c>
      <c r="AD39" s="21"/>
      <c r="AE39" s="19">
        <v>1.5</v>
      </c>
      <c r="AF39" s="20">
        <f t="shared" si="9"/>
        <v>1.5</v>
      </c>
      <c r="AG39" s="21"/>
      <c r="AH39" s="19">
        <v>1.5</v>
      </c>
      <c r="AI39" s="20">
        <f t="shared" si="10"/>
        <v>0</v>
      </c>
      <c r="AJ39" s="21"/>
      <c r="AK39" s="19">
        <v>0.0</v>
      </c>
      <c r="AL39" s="20">
        <f t="shared" si="11"/>
        <v>0</v>
      </c>
      <c r="AM39" s="21"/>
      <c r="AN39" s="22">
        <f t="shared" si="12"/>
        <v>3</v>
      </c>
      <c r="AO39" s="22">
        <f t="shared" si="13"/>
        <v>0</v>
      </c>
    </row>
    <row r="40" ht="15.75" customHeight="1">
      <c r="A40" s="23"/>
      <c r="B40" s="23"/>
      <c r="C40" s="25" t="s">
        <v>77</v>
      </c>
      <c r="D40" s="17" t="s">
        <v>26</v>
      </c>
      <c r="E40" s="17" t="s">
        <v>27</v>
      </c>
      <c r="F40" s="26">
        <v>6.0</v>
      </c>
      <c r="G40" s="27">
        <v>0.0</v>
      </c>
      <c r="H40" s="20">
        <f t="shared" si="1"/>
        <v>6</v>
      </c>
      <c r="I40" s="28"/>
      <c r="J40" s="27">
        <v>0.0</v>
      </c>
      <c r="K40" s="20">
        <f t="shared" si="2"/>
        <v>6</v>
      </c>
      <c r="L40" s="28"/>
      <c r="M40" s="27">
        <v>0.0</v>
      </c>
      <c r="N40" s="20">
        <f t="shared" si="3"/>
        <v>6</v>
      </c>
      <c r="O40" s="28"/>
      <c r="P40" s="27">
        <v>0.0</v>
      </c>
      <c r="Q40" s="20">
        <f t="shared" si="4"/>
        <v>6</v>
      </c>
      <c r="R40" s="21"/>
      <c r="S40" s="19">
        <v>0.0</v>
      </c>
      <c r="T40" s="20">
        <f t="shared" si="5"/>
        <v>6</v>
      </c>
      <c r="U40" s="21"/>
      <c r="V40" s="16">
        <v>0.0</v>
      </c>
      <c r="W40" s="20">
        <f t="shared" si="6"/>
        <v>6</v>
      </c>
      <c r="X40" s="21"/>
      <c r="Y40" s="19">
        <v>0.0</v>
      </c>
      <c r="Z40" s="20">
        <f t="shared" si="7"/>
        <v>6</v>
      </c>
      <c r="AA40" s="21"/>
      <c r="AB40" s="19">
        <v>0.0</v>
      </c>
      <c r="AC40" s="20">
        <f t="shared" si="8"/>
        <v>6</v>
      </c>
      <c r="AD40" s="21"/>
      <c r="AE40" s="19">
        <v>3.0</v>
      </c>
      <c r="AF40" s="20">
        <f t="shared" si="9"/>
        <v>3</v>
      </c>
      <c r="AG40" s="21"/>
      <c r="AH40" s="19">
        <v>3.0</v>
      </c>
      <c r="AI40" s="20">
        <f t="shared" si="10"/>
        <v>0</v>
      </c>
      <c r="AJ40" s="21"/>
      <c r="AK40" s="19">
        <v>0.0</v>
      </c>
      <c r="AL40" s="20">
        <f t="shared" si="11"/>
        <v>0</v>
      </c>
      <c r="AM40" s="21"/>
      <c r="AN40" s="22">
        <f t="shared" si="12"/>
        <v>6</v>
      </c>
      <c r="AO40" s="22">
        <f t="shared" si="13"/>
        <v>0</v>
      </c>
    </row>
    <row r="41" ht="15.75" customHeight="1">
      <c r="A41" s="23"/>
      <c r="B41" s="23"/>
      <c r="C41" s="25" t="s">
        <v>78</v>
      </c>
      <c r="D41" s="17" t="s">
        <v>26</v>
      </c>
      <c r="E41" s="17" t="s">
        <v>27</v>
      </c>
      <c r="F41" s="26">
        <v>4.0</v>
      </c>
      <c r="G41" s="27">
        <v>0.0</v>
      </c>
      <c r="H41" s="20">
        <f t="shared" si="1"/>
        <v>4</v>
      </c>
      <c r="I41" s="28"/>
      <c r="J41" s="27">
        <v>0.0</v>
      </c>
      <c r="K41" s="20">
        <f t="shared" si="2"/>
        <v>4</v>
      </c>
      <c r="L41" s="28"/>
      <c r="M41" s="27">
        <v>0.0</v>
      </c>
      <c r="N41" s="20">
        <f t="shared" si="3"/>
        <v>4</v>
      </c>
      <c r="O41" s="28"/>
      <c r="P41" s="27">
        <v>0.0</v>
      </c>
      <c r="Q41" s="20">
        <f t="shared" si="4"/>
        <v>4</v>
      </c>
      <c r="R41" s="21"/>
      <c r="S41" s="19">
        <v>0.0</v>
      </c>
      <c r="T41" s="20">
        <f t="shared" si="5"/>
        <v>4</v>
      </c>
      <c r="U41" s="21"/>
      <c r="V41" s="16">
        <v>0.0</v>
      </c>
      <c r="W41" s="20">
        <f t="shared" si="6"/>
        <v>4</v>
      </c>
      <c r="X41" s="21"/>
      <c r="Y41" s="19">
        <v>0.0</v>
      </c>
      <c r="Z41" s="20">
        <f t="shared" si="7"/>
        <v>4</v>
      </c>
      <c r="AA41" s="21"/>
      <c r="AB41" s="19">
        <v>0.0</v>
      </c>
      <c r="AC41" s="20">
        <f t="shared" si="8"/>
        <v>4</v>
      </c>
      <c r="AD41" s="21"/>
      <c r="AE41" s="19">
        <v>2.0</v>
      </c>
      <c r="AF41" s="20">
        <f t="shared" si="9"/>
        <v>2</v>
      </c>
      <c r="AG41" s="21"/>
      <c r="AH41" s="19">
        <v>2.0</v>
      </c>
      <c r="AI41" s="20">
        <f t="shared" si="10"/>
        <v>0</v>
      </c>
      <c r="AJ41" s="21"/>
      <c r="AK41" s="19">
        <v>0.0</v>
      </c>
      <c r="AL41" s="20">
        <f t="shared" si="11"/>
        <v>0</v>
      </c>
      <c r="AM41" s="21"/>
      <c r="AN41" s="22">
        <f t="shared" si="12"/>
        <v>4</v>
      </c>
      <c r="AO41" s="22">
        <f t="shared" si="13"/>
        <v>0</v>
      </c>
    </row>
    <row r="42" ht="15.75" customHeight="1">
      <c r="A42" s="24"/>
      <c r="B42" s="24"/>
      <c r="C42" s="25" t="s">
        <v>79</v>
      </c>
      <c r="D42" s="17" t="s">
        <v>26</v>
      </c>
      <c r="E42" s="17" t="s">
        <v>27</v>
      </c>
      <c r="F42" s="26">
        <v>3.0</v>
      </c>
      <c r="G42" s="27">
        <v>0.0</v>
      </c>
      <c r="H42" s="20">
        <f t="shared" si="1"/>
        <v>3</v>
      </c>
      <c r="I42" s="28"/>
      <c r="J42" s="27">
        <v>0.0</v>
      </c>
      <c r="K42" s="20">
        <f t="shared" si="2"/>
        <v>3</v>
      </c>
      <c r="L42" s="28"/>
      <c r="M42" s="27">
        <v>0.0</v>
      </c>
      <c r="N42" s="20">
        <f t="shared" si="3"/>
        <v>3</v>
      </c>
      <c r="O42" s="28"/>
      <c r="P42" s="27">
        <v>0.0</v>
      </c>
      <c r="Q42" s="20">
        <f t="shared" si="4"/>
        <v>3</v>
      </c>
      <c r="R42" s="21"/>
      <c r="S42" s="19">
        <v>0.0</v>
      </c>
      <c r="T42" s="20">
        <f t="shared" si="5"/>
        <v>3</v>
      </c>
      <c r="U42" s="21"/>
      <c r="V42" s="16">
        <v>0.0</v>
      </c>
      <c r="W42" s="20">
        <f t="shared" si="6"/>
        <v>3</v>
      </c>
      <c r="X42" s="21"/>
      <c r="Y42" s="19">
        <v>0.0</v>
      </c>
      <c r="Z42" s="20">
        <f t="shared" si="7"/>
        <v>3</v>
      </c>
      <c r="AA42" s="21"/>
      <c r="AB42" s="19">
        <v>0.0</v>
      </c>
      <c r="AC42" s="20">
        <f t="shared" si="8"/>
        <v>3</v>
      </c>
      <c r="AD42" s="21"/>
      <c r="AE42" s="19">
        <v>1.5</v>
      </c>
      <c r="AF42" s="20">
        <f t="shared" si="9"/>
        <v>1.5</v>
      </c>
      <c r="AG42" s="21"/>
      <c r="AH42" s="19">
        <v>1.5</v>
      </c>
      <c r="AI42" s="20">
        <f t="shared" si="10"/>
        <v>0</v>
      </c>
      <c r="AJ42" s="21"/>
      <c r="AK42" s="19">
        <v>0.0</v>
      </c>
      <c r="AL42" s="20">
        <f t="shared" si="11"/>
        <v>0</v>
      </c>
      <c r="AM42" s="21"/>
      <c r="AN42" s="22">
        <f t="shared" si="12"/>
        <v>3</v>
      </c>
      <c r="AO42" s="22">
        <f t="shared" si="13"/>
        <v>0</v>
      </c>
    </row>
    <row r="43" ht="15.75" customHeight="1">
      <c r="A43" s="14" t="s">
        <v>80</v>
      </c>
      <c r="B43" s="15" t="s">
        <v>81</v>
      </c>
      <c r="C43" s="25" t="s">
        <v>82</v>
      </c>
      <c r="D43" s="17" t="s">
        <v>26</v>
      </c>
      <c r="E43" s="17" t="s">
        <v>27</v>
      </c>
      <c r="F43" s="26">
        <v>3.0</v>
      </c>
      <c r="G43" s="27">
        <v>0.0</v>
      </c>
      <c r="H43" s="20">
        <f t="shared" si="1"/>
        <v>3</v>
      </c>
      <c r="I43" s="28"/>
      <c r="J43" s="27">
        <v>0.0</v>
      </c>
      <c r="K43" s="20">
        <f t="shared" si="2"/>
        <v>3</v>
      </c>
      <c r="L43" s="28"/>
      <c r="M43" s="27">
        <v>0.0</v>
      </c>
      <c r="N43" s="20">
        <f t="shared" si="3"/>
        <v>3</v>
      </c>
      <c r="O43" s="28"/>
      <c r="P43" s="27">
        <v>0.0</v>
      </c>
      <c r="Q43" s="20">
        <f t="shared" si="4"/>
        <v>3</v>
      </c>
      <c r="R43" s="21"/>
      <c r="S43" s="19">
        <v>1.5</v>
      </c>
      <c r="T43" s="20">
        <f t="shared" si="5"/>
        <v>1.5</v>
      </c>
      <c r="U43" s="21"/>
      <c r="V43" s="16">
        <v>1.5</v>
      </c>
      <c r="W43" s="20">
        <f t="shared" si="6"/>
        <v>0</v>
      </c>
      <c r="X43" s="21"/>
      <c r="Y43" s="19">
        <v>0.0</v>
      </c>
      <c r="Z43" s="20">
        <f t="shared" si="7"/>
        <v>0</v>
      </c>
      <c r="AA43" s="21"/>
      <c r="AB43" s="19">
        <v>0.0</v>
      </c>
      <c r="AC43" s="20">
        <f t="shared" si="8"/>
        <v>0</v>
      </c>
      <c r="AD43" s="21"/>
      <c r="AE43" s="19">
        <v>0.0</v>
      </c>
      <c r="AF43" s="20">
        <f t="shared" si="9"/>
        <v>0</v>
      </c>
      <c r="AG43" s="21"/>
      <c r="AH43" s="19">
        <v>0.0</v>
      </c>
      <c r="AI43" s="20">
        <f t="shared" si="10"/>
        <v>0</v>
      </c>
      <c r="AJ43" s="21"/>
      <c r="AK43" s="19">
        <v>0.0</v>
      </c>
      <c r="AL43" s="20">
        <f t="shared" si="11"/>
        <v>0</v>
      </c>
      <c r="AM43" s="21"/>
      <c r="AN43" s="22">
        <f t="shared" si="12"/>
        <v>3</v>
      </c>
      <c r="AO43" s="22">
        <f t="shared" si="13"/>
        <v>0</v>
      </c>
    </row>
    <row r="44" ht="15.75" customHeight="1">
      <c r="A44" s="23"/>
      <c r="B44" s="23"/>
      <c r="C44" s="25" t="s">
        <v>83</v>
      </c>
      <c r="D44" s="17" t="s">
        <v>26</v>
      </c>
      <c r="E44" s="17" t="s">
        <v>27</v>
      </c>
      <c r="F44" s="26">
        <v>3.0</v>
      </c>
      <c r="G44" s="27">
        <v>0.0</v>
      </c>
      <c r="H44" s="20">
        <f t="shared" si="1"/>
        <v>3</v>
      </c>
      <c r="I44" s="28"/>
      <c r="J44" s="27">
        <v>0.0</v>
      </c>
      <c r="K44" s="20">
        <f t="shared" si="2"/>
        <v>3</v>
      </c>
      <c r="L44" s="28"/>
      <c r="M44" s="27">
        <v>0.0</v>
      </c>
      <c r="N44" s="20">
        <f t="shared" si="3"/>
        <v>3</v>
      </c>
      <c r="O44" s="28"/>
      <c r="P44" s="27">
        <v>0.0</v>
      </c>
      <c r="Q44" s="20">
        <f t="shared" si="4"/>
        <v>3</v>
      </c>
      <c r="R44" s="21"/>
      <c r="S44" s="19">
        <v>1.5</v>
      </c>
      <c r="T44" s="20">
        <f t="shared" si="5"/>
        <v>1.5</v>
      </c>
      <c r="U44" s="21"/>
      <c r="V44" s="16">
        <v>1.5</v>
      </c>
      <c r="W44" s="20">
        <f t="shared" si="6"/>
        <v>0</v>
      </c>
      <c r="X44" s="21"/>
      <c r="Y44" s="19">
        <v>0.0</v>
      </c>
      <c r="Z44" s="20">
        <f t="shared" si="7"/>
        <v>0</v>
      </c>
      <c r="AA44" s="21"/>
      <c r="AB44" s="19">
        <v>0.0</v>
      </c>
      <c r="AC44" s="20">
        <f t="shared" si="8"/>
        <v>0</v>
      </c>
      <c r="AD44" s="21"/>
      <c r="AE44" s="19">
        <v>0.0</v>
      </c>
      <c r="AF44" s="20">
        <f t="shared" si="9"/>
        <v>0</v>
      </c>
      <c r="AG44" s="21"/>
      <c r="AH44" s="19">
        <v>0.0</v>
      </c>
      <c r="AI44" s="20">
        <f t="shared" si="10"/>
        <v>0</v>
      </c>
      <c r="AJ44" s="21"/>
      <c r="AK44" s="19">
        <v>0.0</v>
      </c>
      <c r="AL44" s="20">
        <f t="shared" si="11"/>
        <v>0</v>
      </c>
      <c r="AM44" s="21"/>
      <c r="AN44" s="22">
        <f t="shared" si="12"/>
        <v>3</v>
      </c>
      <c r="AO44" s="22">
        <f t="shared" si="13"/>
        <v>0</v>
      </c>
    </row>
    <row r="45" ht="15.75" customHeight="1">
      <c r="A45" s="23"/>
      <c r="B45" s="23"/>
      <c r="C45" s="25" t="s">
        <v>84</v>
      </c>
      <c r="D45" s="17" t="s">
        <v>26</v>
      </c>
      <c r="E45" s="17" t="s">
        <v>27</v>
      </c>
      <c r="F45" s="26">
        <v>4.0</v>
      </c>
      <c r="G45" s="27">
        <v>0.0</v>
      </c>
      <c r="H45" s="20">
        <f t="shared" si="1"/>
        <v>4</v>
      </c>
      <c r="I45" s="28"/>
      <c r="J45" s="27">
        <v>0.0</v>
      </c>
      <c r="K45" s="20">
        <f t="shared" si="2"/>
        <v>4</v>
      </c>
      <c r="L45" s="28"/>
      <c r="M45" s="27">
        <v>0.0</v>
      </c>
      <c r="N45" s="20">
        <f t="shared" si="3"/>
        <v>4</v>
      </c>
      <c r="O45" s="28"/>
      <c r="P45" s="27">
        <v>0.0</v>
      </c>
      <c r="Q45" s="20">
        <f t="shared" si="4"/>
        <v>4</v>
      </c>
      <c r="R45" s="21"/>
      <c r="S45" s="19">
        <v>2.0</v>
      </c>
      <c r="T45" s="20">
        <f t="shared" si="5"/>
        <v>2</v>
      </c>
      <c r="U45" s="21"/>
      <c r="V45" s="16">
        <v>2.0</v>
      </c>
      <c r="W45" s="20">
        <f t="shared" si="6"/>
        <v>0</v>
      </c>
      <c r="X45" s="21"/>
      <c r="Y45" s="19">
        <v>0.0</v>
      </c>
      <c r="Z45" s="20">
        <f t="shared" si="7"/>
        <v>0</v>
      </c>
      <c r="AA45" s="21"/>
      <c r="AB45" s="19">
        <v>0.0</v>
      </c>
      <c r="AC45" s="20">
        <f t="shared" si="8"/>
        <v>0</v>
      </c>
      <c r="AD45" s="21"/>
      <c r="AE45" s="19">
        <v>0.0</v>
      </c>
      <c r="AF45" s="20">
        <f t="shared" si="9"/>
        <v>0</v>
      </c>
      <c r="AG45" s="21"/>
      <c r="AH45" s="19">
        <v>0.0</v>
      </c>
      <c r="AI45" s="20">
        <f t="shared" si="10"/>
        <v>0</v>
      </c>
      <c r="AJ45" s="21"/>
      <c r="AK45" s="19">
        <v>0.0</v>
      </c>
      <c r="AL45" s="20">
        <f t="shared" si="11"/>
        <v>0</v>
      </c>
      <c r="AM45" s="21"/>
      <c r="AN45" s="22">
        <f t="shared" si="12"/>
        <v>4</v>
      </c>
      <c r="AO45" s="22">
        <f t="shared" si="13"/>
        <v>0</v>
      </c>
    </row>
    <row r="46" ht="15.75" customHeight="1">
      <c r="A46" s="24"/>
      <c r="B46" s="24"/>
      <c r="C46" s="25" t="s">
        <v>85</v>
      </c>
      <c r="D46" s="17" t="s">
        <v>26</v>
      </c>
      <c r="E46" s="17" t="s">
        <v>27</v>
      </c>
      <c r="F46" s="26">
        <v>2.0</v>
      </c>
      <c r="G46" s="27">
        <v>0.0</v>
      </c>
      <c r="H46" s="20">
        <f t="shared" si="1"/>
        <v>2</v>
      </c>
      <c r="I46" s="28"/>
      <c r="J46" s="27">
        <v>0.0</v>
      </c>
      <c r="K46" s="20">
        <f t="shared" si="2"/>
        <v>2</v>
      </c>
      <c r="L46" s="28"/>
      <c r="M46" s="27">
        <v>0.0</v>
      </c>
      <c r="N46" s="20">
        <f t="shared" si="3"/>
        <v>2</v>
      </c>
      <c r="O46" s="28"/>
      <c r="P46" s="27">
        <v>0.0</v>
      </c>
      <c r="Q46" s="20">
        <f t="shared" si="4"/>
        <v>2</v>
      </c>
      <c r="R46" s="21"/>
      <c r="S46" s="19">
        <v>1.0</v>
      </c>
      <c r="T46" s="20">
        <f t="shared" si="5"/>
        <v>1</v>
      </c>
      <c r="U46" s="21"/>
      <c r="V46" s="16">
        <v>1.0</v>
      </c>
      <c r="W46" s="20">
        <f t="shared" si="6"/>
        <v>0</v>
      </c>
      <c r="X46" s="21"/>
      <c r="Y46" s="19">
        <v>0.0</v>
      </c>
      <c r="Z46" s="20">
        <f t="shared" si="7"/>
        <v>0</v>
      </c>
      <c r="AA46" s="21"/>
      <c r="AB46" s="19">
        <v>0.0</v>
      </c>
      <c r="AC46" s="20">
        <f t="shared" si="8"/>
        <v>0</v>
      </c>
      <c r="AD46" s="21"/>
      <c r="AE46" s="19">
        <v>0.0</v>
      </c>
      <c r="AF46" s="20">
        <f t="shared" si="9"/>
        <v>0</v>
      </c>
      <c r="AG46" s="21"/>
      <c r="AH46" s="19">
        <v>0.0</v>
      </c>
      <c r="AI46" s="20">
        <f t="shared" si="10"/>
        <v>0</v>
      </c>
      <c r="AJ46" s="21"/>
      <c r="AK46" s="19">
        <v>0.0</v>
      </c>
      <c r="AL46" s="20">
        <f t="shared" si="11"/>
        <v>0</v>
      </c>
      <c r="AM46" s="21"/>
      <c r="AN46" s="22">
        <f t="shared" si="12"/>
        <v>2</v>
      </c>
      <c r="AO46" s="22">
        <f t="shared" si="13"/>
        <v>0</v>
      </c>
    </row>
    <row r="47" ht="15.75" customHeight="1">
      <c r="A47" s="14" t="s">
        <v>86</v>
      </c>
      <c r="B47" s="15" t="s">
        <v>87</v>
      </c>
      <c r="C47" s="25" t="s">
        <v>88</v>
      </c>
      <c r="D47" s="17" t="s">
        <v>26</v>
      </c>
      <c r="E47" s="17" t="s">
        <v>27</v>
      </c>
      <c r="F47" s="26">
        <v>2.0</v>
      </c>
      <c r="G47" s="27">
        <v>0.0</v>
      </c>
      <c r="H47" s="20">
        <f t="shared" si="1"/>
        <v>2</v>
      </c>
      <c r="I47" s="28"/>
      <c r="J47" s="27">
        <v>0.0</v>
      </c>
      <c r="K47" s="20">
        <f t="shared" si="2"/>
        <v>2</v>
      </c>
      <c r="L47" s="28"/>
      <c r="M47" s="27">
        <v>1.0</v>
      </c>
      <c r="N47" s="20">
        <f t="shared" si="3"/>
        <v>1</v>
      </c>
      <c r="O47" s="28"/>
      <c r="P47" s="27">
        <v>1.0</v>
      </c>
      <c r="Q47" s="20">
        <f t="shared" si="4"/>
        <v>0</v>
      </c>
      <c r="R47" s="21"/>
      <c r="S47" s="19">
        <v>0.0</v>
      </c>
      <c r="T47" s="20">
        <f t="shared" si="5"/>
        <v>0</v>
      </c>
      <c r="U47" s="21"/>
      <c r="V47" s="16">
        <v>0.0</v>
      </c>
      <c r="W47" s="20">
        <f t="shared" si="6"/>
        <v>0</v>
      </c>
      <c r="X47" s="21"/>
      <c r="Y47" s="19">
        <v>0.0</v>
      </c>
      <c r="Z47" s="20">
        <f t="shared" si="7"/>
        <v>0</v>
      </c>
      <c r="AA47" s="21"/>
      <c r="AB47" s="19">
        <v>0.0</v>
      </c>
      <c r="AC47" s="20">
        <f t="shared" si="8"/>
        <v>0</v>
      </c>
      <c r="AD47" s="21"/>
      <c r="AE47" s="19">
        <v>0.0</v>
      </c>
      <c r="AF47" s="20">
        <f t="shared" si="9"/>
        <v>0</v>
      </c>
      <c r="AG47" s="21"/>
      <c r="AH47" s="19">
        <v>0.0</v>
      </c>
      <c r="AI47" s="20">
        <f t="shared" si="10"/>
        <v>0</v>
      </c>
      <c r="AJ47" s="21"/>
      <c r="AK47" s="19">
        <v>0.0</v>
      </c>
      <c r="AL47" s="20">
        <f t="shared" si="11"/>
        <v>0</v>
      </c>
      <c r="AM47" s="21"/>
      <c r="AN47" s="22">
        <f t="shared" si="12"/>
        <v>2</v>
      </c>
      <c r="AO47" s="22">
        <f t="shared" si="13"/>
        <v>0</v>
      </c>
    </row>
    <row r="48" ht="15.75" customHeight="1">
      <c r="A48" s="23"/>
      <c r="B48" s="23"/>
      <c r="C48" s="25" t="s">
        <v>89</v>
      </c>
      <c r="D48" s="17" t="s">
        <v>26</v>
      </c>
      <c r="E48" s="17" t="s">
        <v>27</v>
      </c>
      <c r="F48" s="26">
        <v>4.0</v>
      </c>
      <c r="G48" s="27">
        <v>0.0</v>
      </c>
      <c r="H48" s="20">
        <f t="shared" si="1"/>
        <v>4</v>
      </c>
      <c r="I48" s="28"/>
      <c r="J48" s="27">
        <v>0.0</v>
      </c>
      <c r="K48" s="20">
        <f t="shared" si="2"/>
        <v>4</v>
      </c>
      <c r="L48" s="28"/>
      <c r="M48" s="27">
        <v>2.0</v>
      </c>
      <c r="N48" s="20">
        <f t="shared" si="3"/>
        <v>2</v>
      </c>
      <c r="O48" s="28"/>
      <c r="P48" s="27">
        <v>2.0</v>
      </c>
      <c r="Q48" s="20">
        <f t="shared" si="4"/>
        <v>0</v>
      </c>
      <c r="R48" s="21"/>
      <c r="S48" s="19">
        <v>0.0</v>
      </c>
      <c r="T48" s="20">
        <f t="shared" si="5"/>
        <v>0</v>
      </c>
      <c r="U48" s="21"/>
      <c r="V48" s="16">
        <v>0.0</v>
      </c>
      <c r="W48" s="20">
        <f t="shared" si="6"/>
        <v>0</v>
      </c>
      <c r="X48" s="21"/>
      <c r="Y48" s="19">
        <v>0.0</v>
      </c>
      <c r="Z48" s="20">
        <f t="shared" si="7"/>
        <v>0</v>
      </c>
      <c r="AA48" s="21"/>
      <c r="AB48" s="19">
        <v>0.0</v>
      </c>
      <c r="AC48" s="20">
        <f t="shared" si="8"/>
        <v>0</v>
      </c>
      <c r="AD48" s="21"/>
      <c r="AE48" s="19">
        <v>0.0</v>
      </c>
      <c r="AF48" s="20">
        <f t="shared" si="9"/>
        <v>0</v>
      </c>
      <c r="AG48" s="21"/>
      <c r="AH48" s="19">
        <v>0.0</v>
      </c>
      <c r="AI48" s="20">
        <f t="shared" si="10"/>
        <v>0</v>
      </c>
      <c r="AJ48" s="21"/>
      <c r="AK48" s="19">
        <v>0.0</v>
      </c>
      <c r="AL48" s="20">
        <f t="shared" si="11"/>
        <v>0</v>
      </c>
      <c r="AM48" s="21"/>
      <c r="AN48" s="22">
        <f t="shared" si="12"/>
        <v>4</v>
      </c>
      <c r="AO48" s="22">
        <f t="shared" si="13"/>
        <v>0</v>
      </c>
    </row>
    <row r="49" ht="15.75" customHeight="1">
      <c r="A49" s="23"/>
      <c r="B49" s="23"/>
      <c r="C49" s="25" t="s">
        <v>90</v>
      </c>
      <c r="D49" s="17" t="s">
        <v>26</v>
      </c>
      <c r="E49" s="17" t="s">
        <v>27</v>
      </c>
      <c r="F49" s="26">
        <v>4.0</v>
      </c>
      <c r="G49" s="27">
        <v>0.0</v>
      </c>
      <c r="H49" s="20">
        <f t="shared" si="1"/>
        <v>4</v>
      </c>
      <c r="I49" s="28"/>
      <c r="J49" s="27">
        <v>0.0</v>
      </c>
      <c r="K49" s="20">
        <f t="shared" si="2"/>
        <v>4</v>
      </c>
      <c r="L49" s="28"/>
      <c r="M49" s="27">
        <v>2.0</v>
      </c>
      <c r="N49" s="20">
        <f t="shared" si="3"/>
        <v>2</v>
      </c>
      <c r="O49" s="28"/>
      <c r="P49" s="27">
        <v>2.0</v>
      </c>
      <c r="Q49" s="20">
        <f t="shared" si="4"/>
        <v>0</v>
      </c>
      <c r="R49" s="21"/>
      <c r="S49" s="19">
        <v>0.0</v>
      </c>
      <c r="T49" s="20">
        <f t="shared" si="5"/>
        <v>0</v>
      </c>
      <c r="U49" s="21"/>
      <c r="V49" s="16">
        <v>0.0</v>
      </c>
      <c r="W49" s="20">
        <f t="shared" si="6"/>
        <v>0</v>
      </c>
      <c r="X49" s="21"/>
      <c r="Y49" s="19">
        <v>0.0</v>
      </c>
      <c r="Z49" s="20">
        <f t="shared" si="7"/>
        <v>0</v>
      </c>
      <c r="AA49" s="21"/>
      <c r="AB49" s="19">
        <v>0.0</v>
      </c>
      <c r="AC49" s="20">
        <f t="shared" si="8"/>
        <v>0</v>
      </c>
      <c r="AD49" s="21"/>
      <c r="AE49" s="19">
        <v>0.0</v>
      </c>
      <c r="AF49" s="20">
        <f t="shared" si="9"/>
        <v>0</v>
      </c>
      <c r="AG49" s="21"/>
      <c r="AH49" s="19">
        <v>0.0</v>
      </c>
      <c r="AI49" s="20">
        <f t="shared" si="10"/>
        <v>0</v>
      </c>
      <c r="AJ49" s="21"/>
      <c r="AK49" s="19">
        <v>0.0</v>
      </c>
      <c r="AL49" s="20">
        <f t="shared" si="11"/>
        <v>0</v>
      </c>
      <c r="AM49" s="21"/>
      <c r="AN49" s="22">
        <f t="shared" si="12"/>
        <v>4</v>
      </c>
      <c r="AO49" s="22">
        <f t="shared" si="13"/>
        <v>0</v>
      </c>
    </row>
    <row r="50" ht="15.75" customHeight="1">
      <c r="A50" s="24"/>
      <c r="B50" s="24"/>
      <c r="C50" s="25" t="s">
        <v>91</v>
      </c>
      <c r="D50" s="17" t="s">
        <v>26</v>
      </c>
      <c r="E50" s="17" t="s">
        <v>27</v>
      </c>
      <c r="F50" s="26">
        <v>2.0</v>
      </c>
      <c r="G50" s="27">
        <v>0.0</v>
      </c>
      <c r="H50" s="20">
        <f t="shared" si="1"/>
        <v>2</v>
      </c>
      <c r="I50" s="28"/>
      <c r="J50" s="27">
        <v>0.0</v>
      </c>
      <c r="K50" s="20">
        <f t="shared" si="2"/>
        <v>2</v>
      </c>
      <c r="L50" s="28"/>
      <c r="M50" s="27">
        <v>1.0</v>
      </c>
      <c r="N50" s="20">
        <f t="shared" si="3"/>
        <v>1</v>
      </c>
      <c r="O50" s="28"/>
      <c r="P50" s="27">
        <v>1.0</v>
      </c>
      <c r="Q50" s="20">
        <f t="shared" si="4"/>
        <v>0</v>
      </c>
      <c r="R50" s="21"/>
      <c r="S50" s="19">
        <v>0.0</v>
      </c>
      <c r="T50" s="20">
        <f t="shared" si="5"/>
        <v>0</v>
      </c>
      <c r="U50" s="21"/>
      <c r="V50" s="16">
        <v>0.0</v>
      </c>
      <c r="W50" s="20">
        <f t="shared" si="6"/>
        <v>0</v>
      </c>
      <c r="X50" s="21"/>
      <c r="Y50" s="19">
        <v>0.0</v>
      </c>
      <c r="Z50" s="20">
        <f t="shared" si="7"/>
        <v>0</v>
      </c>
      <c r="AA50" s="21"/>
      <c r="AB50" s="19">
        <v>0.0</v>
      </c>
      <c r="AC50" s="20">
        <f t="shared" si="8"/>
        <v>0</v>
      </c>
      <c r="AD50" s="21"/>
      <c r="AE50" s="19">
        <v>0.0</v>
      </c>
      <c r="AF50" s="20">
        <f t="shared" si="9"/>
        <v>0</v>
      </c>
      <c r="AG50" s="21"/>
      <c r="AH50" s="19">
        <v>0.0</v>
      </c>
      <c r="AI50" s="20">
        <f t="shared" si="10"/>
        <v>0</v>
      </c>
      <c r="AJ50" s="21"/>
      <c r="AK50" s="19">
        <v>0.0</v>
      </c>
      <c r="AL50" s="20">
        <f t="shared" si="11"/>
        <v>0</v>
      </c>
      <c r="AM50" s="21"/>
      <c r="AN50" s="22">
        <f t="shared" si="12"/>
        <v>2</v>
      </c>
      <c r="AO50" s="22">
        <f t="shared" si="13"/>
        <v>0</v>
      </c>
    </row>
    <row r="51" ht="15.75" customHeight="1">
      <c r="A51" s="14" t="s">
        <v>92</v>
      </c>
      <c r="B51" s="15" t="s">
        <v>93</v>
      </c>
      <c r="C51" s="25" t="s">
        <v>94</v>
      </c>
      <c r="D51" s="17" t="s">
        <v>26</v>
      </c>
      <c r="E51" s="17" t="s">
        <v>27</v>
      </c>
      <c r="F51" s="26">
        <v>4.0</v>
      </c>
      <c r="G51" s="27">
        <v>0.0</v>
      </c>
      <c r="H51" s="20">
        <f t="shared" si="1"/>
        <v>4</v>
      </c>
      <c r="I51" s="28"/>
      <c r="J51" s="27">
        <v>0.0</v>
      </c>
      <c r="K51" s="20">
        <f t="shared" si="2"/>
        <v>4</v>
      </c>
      <c r="L51" s="28"/>
      <c r="M51" s="27">
        <v>2.0</v>
      </c>
      <c r="N51" s="20">
        <f t="shared" si="3"/>
        <v>2</v>
      </c>
      <c r="O51" s="28"/>
      <c r="P51" s="27">
        <v>2.0</v>
      </c>
      <c r="Q51" s="20">
        <f t="shared" si="4"/>
        <v>0</v>
      </c>
      <c r="R51" s="21"/>
      <c r="S51" s="19">
        <v>0.0</v>
      </c>
      <c r="T51" s="20">
        <f t="shared" si="5"/>
        <v>0</v>
      </c>
      <c r="U51" s="21"/>
      <c r="V51" s="16">
        <v>0.0</v>
      </c>
      <c r="W51" s="20">
        <f t="shared" si="6"/>
        <v>0</v>
      </c>
      <c r="X51" s="21"/>
      <c r="Y51" s="19">
        <v>0.0</v>
      </c>
      <c r="Z51" s="20">
        <f t="shared" si="7"/>
        <v>0</v>
      </c>
      <c r="AA51" s="21"/>
      <c r="AB51" s="19">
        <v>0.0</v>
      </c>
      <c r="AC51" s="20">
        <f t="shared" si="8"/>
        <v>0</v>
      </c>
      <c r="AD51" s="21"/>
      <c r="AE51" s="19">
        <v>0.0</v>
      </c>
      <c r="AF51" s="20">
        <f t="shared" si="9"/>
        <v>0</v>
      </c>
      <c r="AG51" s="21"/>
      <c r="AH51" s="19">
        <v>0.0</v>
      </c>
      <c r="AI51" s="20">
        <f t="shared" si="10"/>
        <v>0</v>
      </c>
      <c r="AJ51" s="21"/>
      <c r="AK51" s="19">
        <v>0.0</v>
      </c>
      <c r="AL51" s="20">
        <f t="shared" si="11"/>
        <v>0</v>
      </c>
      <c r="AM51" s="21"/>
      <c r="AN51" s="22">
        <f t="shared" si="12"/>
        <v>4</v>
      </c>
      <c r="AO51" s="22">
        <f t="shared" si="13"/>
        <v>0</v>
      </c>
    </row>
    <row r="52" ht="15.75" customHeight="1">
      <c r="A52" s="23"/>
      <c r="B52" s="23"/>
      <c r="C52" s="25" t="s">
        <v>95</v>
      </c>
      <c r="D52" s="17" t="s">
        <v>26</v>
      </c>
      <c r="E52" s="17" t="s">
        <v>27</v>
      </c>
      <c r="F52" s="26">
        <v>3.0</v>
      </c>
      <c r="G52" s="27">
        <v>0.0</v>
      </c>
      <c r="H52" s="20">
        <f t="shared" si="1"/>
        <v>3</v>
      </c>
      <c r="I52" s="28"/>
      <c r="J52" s="27">
        <v>0.0</v>
      </c>
      <c r="K52" s="20">
        <f t="shared" si="2"/>
        <v>3</v>
      </c>
      <c r="L52" s="28"/>
      <c r="M52" s="27">
        <v>1.5</v>
      </c>
      <c r="N52" s="20">
        <f t="shared" si="3"/>
        <v>1.5</v>
      </c>
      <c r="O52" s="28"/>
      <c r="P52" s="27">
        <v>1.5</v>
      </c>
      <c r="Q52" s="20">
        <f t="shared" si="4"/>
        <v>0</v>
      </c>
      <c r="R52" s="21"/>
      <c r="S52" s="19">
        <v>0.0</v>
      </c>
      <c r="T52" s="20">
        <f t="shared" si="5"/>
        <v>0</v>
      </c>
      <c r="U52" s="21"/>
      <c r="V52" s="16">
        <v>0.0</v>
      </c>
      <c r="W52" s="20">
        <f t="shared" si="6"/>
        <v>0</v>
      </c>
      <c r="X52" s="21"/>
      <c r="Y52" s="19">
        <v>0.0</v>
      </c>
      <c r="Z52" s="20">
        <f t="shared" si="7"/>
        <v>0</v>
      </c>
      <c r="AA52" s="21"/>
      <c r="AB52" s="19">
        <v>0.0</v>
      </c>
      <c r="AC52" s="20">
        <f t="shared" si="8"/>
        <v>0</v>
      </c>
      <c r="AD52" s="21"/>
      <c r="AE52" s="19">
        <v>0.0</v>
      </c>
      <c r="AF52" s="20">
        <f t="shared" si="9"/>
        <v>0</v>
      </c>
      <c r="AG52" s="21"/>
      <c r="AH52" s="19">
        <v>0.0</v>
      </c>
      <c r="AI52" s="20">
        <f t="shared" si="10"/>
        <v>0</v>
      </c>
      <c r="AJ52" s="21"/>
      <c r="AK52" s="19">
        <v>0.0</v>
      </c>
      <c r="AL52" s="20">
        <f t="shared" si="11"/>
        <v>0</v>
      </c>
      <c r="AM52" s="21"/>
      <c r="AN52" s="22">
        <f t="shared" si="12"/>
        <v>3</v>
      </c>
      <c r="AO52" s="22">
        <f t="shared" si="13"/>
        <v>0</v>
      </c>
    </row>
    <row r="53" ht="15.75" customHeight="1">
      <c r="A53" s="23"/>
      <c r="B53" s="23"/>
      <c r="C53" s="25" t="s">
        <v>96</v>
      </c>
      <c r="D53" s="17" t="s">
        <v>26</v>
      </c>
      <c r="E53" s="17" t="s">
        <v>27</v>
      </c>
      <c r="F53" s="26">
        <v>4.0</v>
      </c>
      <c r="G53" s="27">
        <v>0.0</v>
      </c>
      <c r="H53" s="20">
        <f t="shared" si="1"/>
        <v>4</v>
      </c>
      <c r="I53" s="28"/>
      <c r="J53" s="27">
        <v>0.0</v>
      </c>
      <c r="K53" s="20">
        <f t="shared" si="2"/>
        <v>4</v>
      </c>
      <c r="L53" s="28"/>
      <c r="M53" s="27">
        <v>2.0</v>
      </c>
      <c r="N53" s="20">
        <f t="shared" si="3"/>
        <v>2</v>
      </c>
      <c r="O53" s="28"/>
      <c r="P53" s="27">
        <v>2.0</v>
      </c>
      <c r="Q53" s="20">
        <f t="shared" si="4"/>
        <v>0</v>
      </c>
      <c r="R53" s="21"/>
      <c r="S53" s="19">
        <v>0.0</v>
      </c>
      <c r="T53" s="20">
        <f t="shared" si="5"/>
        <v>0</v>
      </c>
      <c r="U53" s="21"/>
      <c r="V53" s="16">
        <v>0.0</v>
      </c>
      <c r="W53" s="20">
        <f t="shared" si="6"/>
        <v>0</v>
      </c>
      <c r="X53" s="21"/>
      <c r="Y53" s="19">
        <v>0.0</v>
      </c>
      <c r="Z53" s="20">
        <f t="shared" si="7"/>
        <v>0</v>
      </c>
      <c r="AA53" s="21"/>
      <c r="AB53" s="19">
        <v>0.0</v>
      </c>
      <c r="AC53" s="20">
        <f t="shared" si="8"/>
        <v>0</v>
      </c>
      <c r="AD53" s="21"/>
      <c r="AE53" s="19">
        <v>0.0</v>
      </c>
      <c r="AF53" s="20">
        <f t="shared" si="9"/>
        <v>0</v>
      </c>
      <c r="AG53" s="21"/>
      <c r="AH53" s="19">
        <v>0.0</v>
      </c>
      <c r="AI53" s="20">
        <f t="shared" si="10"/>
        <v>0</v>
      </c>
      <c r="AJ53" s="21"/>
      <c r="AK53" s="19">
        <v>0.0</v>
      </c>
      <c r="AL53" s="20">
        <f t="shared" si="11"/>
        <v>0</v>
      </c>
      <c r="AM53" s="21"/>
      <c r="AN53" s="22">
        <f t="shared" si="12"/>
        <v>4</v>
      </c>
      <c r="AO53" s="22">
        <f t="shared" si="13"/>
        <v>0</v>
      </c>
    </row>
    <row r="54" ht="15.75" customHeight="1">
      <c r="A54" s="24"/>
      <c r="B54" s="24"/>
      <c r="C54" s="25" t="s">
        <v>97</v>
      </c>
      <c r="D54" s="17" t="s">
        <v>26</v>
      </c>
      <c r="E54" s="17" t="s">
        <v>27</v>
      </c>
      <c r="F54" s="26">
        <v>3.0</v>
      </c>
      <c r="G54" s="27">
        <v>0.0</v>
      </c>
      <c r="H54" s="20">
        <f t="shared" si="1"/>
        <v>3</v>
      </c>
      <c r="I54" s="28"/>
      <c r="J54" s="27">
        <v>0.0</v>
      </c>
      <c r="K54" s="20">
        <f t="shared" si="2"/>
        <v>3</v>
      </c>
      <c r="L54" s="28"/>
      <c r="M54" s="27">
        <v>1.5</v>
      </c>
      <c r="N54" s="20">
        <f t="shared" si="3"/>
        <v>1.5</v>
      </c>
      <c r="O54" s="28"/>
      <c r="P54" s="27">
        <v>1.5</v>
      </c>
      <c r="Q54" s="20">
        <f t="shared" si="4"/>
        <v>0</v>
      </c>
      <c r="R54" s="21"/>
      <c r="S54" s="19">
        <v>0.0</v>
      </c>
      <c r="T54" s="20">
        <f t="shared" si="5"/>
        <v>0</v>
      </c>
      <c r="U54" s="21"/>
      <c r="V54" s="16">
        <v>0.0</v>
      </c>
      <c r="W54" s="20">
        <f t="shared" si="6"/>
        <v>0</v>
      </c>
      <c r="X54" s="21"/>
      <c r="Y54" s="19">
        <v>0.0</v>
      </c>
      <c r="Z54" s="20">
        <f t="shared" si="7"/>
        <v>0</v>
      </c>
      <c r="AA54" s="21"/>
      <c r="AB54" s="19">
        <v>0.0</v>
      </c>
      <c r="AC54" s="20">
        <f t="shared" si="8"/>
        <v>0</v>
      </c>
      <c r="AD54" s="21"/>
      <c r="AE54" s="19">
        <v>0.0</v>
      </c>
      <c r="AF54" s="20">
        <f t="shared" si="9"/>
        <v>0</v>
      </c>
      <c r="AG54" s="21"/>
      <c r="AH54" s="19">
        <v>0.0</v>
      </c>
      <c r="AI54" s="20">
        <f t="shared" si="10"/>
        <v>0</v>
      </c>
      <c r="AJ54" s="21"/>
      <c r="AK54" s="19">
        <v>0.0</v>
      </c>
      <c r="AL54" s="20">
        <f t="shared" si="11"/>
        <v>0</v>
      </c>
      <c r="AM54" s="21"/>
      <c r="AN54" s="22">
        <f t="shared" si="12"/>
        <v>3</v>
      </c>
      <c r="AO54" s="22">
        <f t="shared" si="13"/>
        <v>0</v>
      </c>
    </row>
    <row r="55" ht="15.75" customHeight="1">
      <c r="A55" s="14" t="s">
        <v>98</v>
      </c>
      <c r="B55" s="15" t="s">
        <v>99</v>
      </c>
      <c r="C55" s="25" t="s">
        <v>100</v>
      </c>
      <c r="D55" s="17" t="s">
        <v>26</v>
      </c>
      <c r="E55" s="17" t="s">
        <v>27</v>
      </c>
      <c r="F55" s="26">
        <v>4.0</v>
      </c>
      <c r="G55" s="27">
        <v>0.0</v>
      </c>
      <c r="H55" s="20">
        <f t="shared" si="1"/>
        <v>4</v>
      </c>
      <c r="I55" s="28"/>
      <c r="J55" s="27">
        <v>0.0</v>
      </c>
      <c r="K55" s="20">
        <f t="shared" si="2"/>
        <v>4</v>
      </c>
      <c r="L55" s="28"/>
      <c r="M55" s="27">
        <v>0.0</v>
      </c>
      <c r="N55" s="20">
        <f t="shared" si="3"/>
        <v>4</v>
      </c>
      <c r="O55" s="28"/>
      <c r="P55" s="27">
        <v>0.0</v>
      </c>
      <c r="Q55" s="20">
        <f t="shared" si="4"/>
        <v>4</v>
      </c>
      <c r="R55" s="21"/>
      <c r="S55" s="19">
        <v>2.0</v>
      </c>
      <c r="T55" s="20">
        <f t="shared" si="5"/>
        <v>2</v>
      </c>
      <c r="U55" s="21"/>
      <c r="V55" s="16">
        <v>2.0</v>
      </c>
      <c r="W55" s="20">
        <f t="shared" si="6"/>
        <v>0</v>
      </c>
      <c r="X55" s="21"/>
      <c r="Y55" s="19">
        <v>0.0</v>
      </c>
      <c r="Z55" s="20">
        <f t="shared" si="7"/>
        <v>0</v>
      </c>
      <c r="AA55" s="21"/>
      <c r="AB55" s="19">
        <v>0.0</v>
      </c>
      <c r="AC55" s="20">
        <f t="shared" si="8"/>
        <v>0</v>
      </c>
      <c r="AD55" s="21"/>
      <c r="AE55" s="19">
        <v>0.0</v>
      </c>
      <c r="AF55" s="20">
        <f t="shared" si="9"/>
        <v>0</v>
      </c>
      <c r="AG55" s="21"/>
      <c r="AH55" s="19">
        <v>0.0</v>
      </c>
      <c r="AI55" s="20">
        <f t="shared" si="10"/>
        <v>0</v>
      </c>
      <c r="AJ55" s="21"/>
      <c r="AK55" s="19">
        <v>0.0</v>
      </c>
      <c r="AL55" s="20">
        <f t="shared" si="11"/>
        <v>0</v>
      </c>
      <c r="AM55" s="21"/>
      <c r="AN55" s="22">
        <f t="shared" si="12"/>
        <v>4</v>
      </c>
      <c r="AO55" s="22">
        <f t="shared" si="13"/>
        <v>0</v>
      </c>
    </row>
    <row r="56" ht="15.75" customHeight="1">
      <c r="A56" s="23"/>
      <c r="B56" s="23"/>
      <c r="C56" s="25" t="s">
        <v>101</v>
      </c>
      <c r="D56" s="17" t="s">
        <v>26</v>
      </c>
      <c r="E56" s="17" t="s">
        <v>27</v>
      </c>
      <c r="F56" s="26">
        <v>4.0</v>
      </c>
      <c r="G56" s="27">
        <v>0.0</v>
      </c>
      <c r="H56" s="20">
        <f t="shared" si="1"/>
        <v>4</v>
      </c>
      <c r="I56" s="28"/>
      <c r="J56" s="27">
        <v>0.0</v>
      </c>
      <c r="K56" s="20">
        <f t="shared" si="2"/>
        <v>4</v>
      </c>
      <c r="L56" s="28"/>
      <c r="M56" s="27">
        <v>0.0</v>
      </c>
      <c r="N56" s="20">
        <f t="shared" si="3"/>
        <v>4</v>
      </c>
      <c r="O56" s="28"/>
      <c r="P56" s="27">
        <v>0.0</v>
      </c>
      <c r="Q56" s="20">
        <f t="shared" si="4"/>
        <v>4</v>
      </c>
      <c r="R56" s="21"/>
      <c r="S56" s="19">
        <v>2.0</v>
      </c>
      <c r="T56" s="20">
        <f t="shared" si="5"/>
        <v>2</v>
      </c>
      <c r="U56" s="21"/>
      <c r="V56" s="16">
        <v>2.0</v>
      </c>
      <c r="W56" s="20">
        <f t="shared" si="6"/>
        <v>0</v>
      </c>
      <c r="X56" s="21"/>
      <c r="Y56" s="19">
        <v>0.0</v>
      </c>
      <c r="Z56" s="20">
        <f t="shared" si="7"/>
        <v>0</v>
      </c>
      <c r="AA56" s="21"/>
      <c r="AB56" s="19">
        <v>0.0</v>
      </c>
      <c r="AC56" s="20">
        <f t="shared" si="8"/>
        <v>0</v>
      </c>
      <c r="AD56" s="21"/>
      <c r="AE56" s="19">
        <v>0.0</v>
      </c>
      <c r="AF56" s="20">
        <f t="shared" si="9"/>
        <v>0</v>
      </c>
      <c r="AG56" s="21"/>
      <c r="AH56" s="19">
        <v>0.0</v>
      </c>
      <c r="AI56" s="20">
        <f t="shared" si="10"/>
        <v>0</v>
      </c>
      <c r="AJ56" s="21"/>
      <c r="AK56" s="19">
        <v>0.0</v>
      </c>
      <c r="AL56" s="20">
        <f t="shared" si="11"/>
        <v>0</v>
      </c>
      <c r="AM56" s="21"/>
      <c r="AN56" s="22">
        <f t="shared" si="12"/>
        <v>4</v>
      </c>
      <c r="AO56" s="22">
        <f t="shared" si="13"/>
        <v>0</v>
      </c>
    </row>
    <row r="57" ht="15.75" customHeight="1">
      <c r="A57" s="23"/>
      <c r="B57" s="23"/>
      <c r="C57" s="25" t="s">
        <v>102</v>
      </c>
      <c r="D57" s="17" t="s">
        <v>26</v>
      </c>
      <c r="E57" s="17" t="s">
        <v>27</v>
      </c>
      <c r="F57" s="26">
        <v>5.0</v>
      </c>
      <c r="G57" s="27">
        <v>0.0</v>
      </c>
      <c r="H57" s="20">
        <f t="shared" si="1"/>
        <v>5</v>
      </c>
      <c r="I57" s="28"/>
      <c r="J57" s="27">
        <v>0.0</v>
      </c>
      <c r="K57" s="20">
        <f t="shared" si="2"/>
        <v>5</v>
      </c>
      <c r="L57" s="28"/>
      <c r="M57" s="27">
        <v>0.0</v>
      </c>
      <c r="N57" s="20">
        <f t="shared" si="3"/>
        <v>5</v>
      </c>
      <c r="O57" s="28"/>
      <c r="P57" s="27">
        <v>0.0</v>
      </c>
      <c r="Q57" s="20">
        <f t="shared" si="4"/>
        <v>5</v>
      </c>
      <c r="R57" s="21"/>
      <c r="S57" s="19">
        <v>2.5</v>
      </c>
      <c r="T57" s="20">
        <f t="shared" si="5"/>
        <v>2.5</v>
      </c>
      <c r="U57" s="21"/>
      <c r="V57" s="16">
        <v>2.5</v>
      </c>
      <c r="W57" s="20">
        <f t="shared" si="6"/>
        <v>0</v>
      </c>
      <c r="X57" s="21"/>
      <c r="Y57" s="19">
        <v>0.0</v>
      </c>
      <c r="Z57" s="20">
        <f t="shared" si="7"/>
        <v>0</v>
      </c>
      <c r="AA57" s="21"/>
      <c r="AB57" s="19">
        <v>0.0</v>
      </c>
      <c r="AC57" s="20">
        <f t="shared" si="8"/>
        <v>0</v>
      </c>
      <c r="AD57" s="21"/>
      <c r="AE57" s="19">
        <v>0.0</v>
      </c>
      <c r="AF57" s="20">
        <f t="shared" si="9"/>
        <v>0</v>
      </c>
      <c r="AG57" s="21"/>
      <c r="AH57" s="19">
        <v>0.0</v>
      </c>
      <c r="AI57" s="20">
        <f t="shared" si="10"/>
        <v>0</v>
      </c>
      <c r="AJ57" s="21"/>
      <c r="AK57" s="19">
        <v>0.0</v>
      </c>
      <c r="AL57" s="20">
        <f t="shared" si="11"/>
        <v>0</v>
      </c>
      <c r="AM57" s="21"/>
      <c r="AN57" s="22">
        <f t="shared" si="12"/>
        <v>5</v>
      </c>
      <c r="AO57" s="22">
        <f t="shared" si="13"/>
        <v>0</v>
      </c>
    </row>
    <row r="58" ht="15.75" customHeight="1">
      <c r="A58" s="24"/>
      <c r="B58" s="24"/>
      <c r="C58" s="25" t="s">
        <v>103</v>
      </c>
      <c r="D58" s="17" t="s">
        <v>26</v>
      </c>
      <c r="E58" s="17" t="s">
        <v>27</v>
      </c>
      <c r="F58" s="26">
        <v>3.0</v>
      </c>
      <c r="G58" s="27">
        <v>0.0</v>
      </c>
      <c r="H58" s="20">
        <f t="shared" si="1"/>
        <v>3</v>
      </c>
      <c r="I58" s="28"/>
      <c r="J58" s="27">
        <v>0.0</v>
      </c>
      <c r="K58" s="20">
        <f t="shared" si="2"/>
        <v>3</v>
      </c>
      <c r="L58" s="28"/>
      <c r="M58" s="27">
        <v>0.0</v>
      </c>
      <c r="N58" s="20">
        <f t="shared" si="3"/>
        <v>3</v>
      </c>
      <c r="O58" s="28"/>
      <c r="P58" s="27">
        <v>0.0</v>
      </c>
      <c r="Q58" s="20">
        <f t="shared" si="4"/>
        <v>3</v>
      </c>
      <c r="R58" s="21"/>
      <c r="S58" s="19">
        <v>1.5</v>
      </c>
      <c r="T58" s="20">
        <f t="shared" si="5"/>
        <v>1.5</v>
      </c>
      <c r="U58" s="21"/>
      <c r="V58" s="16">
        <v>1.5</v>
      </c>
      <c r="W58" s="20">
        <f t="shared" si="6"/>
        <v>0</v>
      </c>
      <c r="X58" s="21"/>
      <c r="Y58" s="19">
        <v>0.0</v>
      </c>
      <c r="Z58" s="20">
        <f t="shared" si="7"/>
        <v>0</v>
      </c>
      <c r="AA58" s="21"/>
      <c r="AB58" s="19">
        <v>0.0</v>
      </c>
      <c r="AC58" s="20">
        <f t="shared" si="8"/>
        <v>0</v>
      </c>
      <c r="AD58" s="21"/>
      <c r="AE58" s="19">
        <v>0.0</v>
      </c>
      <c r="AF58" s="20">
        <f t="shared" si="9"/>
        <v>0</v>
      </c>
      <c r="AG58" s="21"/>
      <c r="AH58" s="19">
        <v>0.0</v>
      </c>
      <c r="AI58" s="20">
        <f t="shared" si="10"/>
        <v>0</v>
      </c>
      <c r="AJ58" s="21"/>
      <c r="AK58" s="19">
        <v>0.0</v>
      </c>
      <c r="AL58" s="20">
        <f t="shared" si="11"/>
        <v>0</v>
      </c>
      <c r="AM58" s="21"/>
      <c r="AN58" s="22">
        <f t="shared" si="12"/>
        <v>3</v>
      </c>
      <c r="AO58" s="22">
        <f t="shared" si="13"/>
        <v>0</v>
      </c>
    </row>
    <row r="59" ht="15.75" customHeight="1">
      <c r="A59" s="14" t="s">
        <v>104</v>
      </c>
      <c r="B59" s="15" t="s">
        <v>105</v>
      </c>
      <c r="C59" s="25" t="s">
        <v>106</v>
      </c>
      <c r="D59" s="17" t="s">
        <v>26</v>
      </c>
      <c r="E59" s="17" t="s">
        <v>27</v>
      </c>
      <c r="F59" s="26">
        <v>4.0</v>
      </c>
      <c r="G59" s="27">
        <v>0.0</v>
      </c>
      <c r="H59" s="20">
        <f t="shared" si="1"/>
        <v>4</v>
      </c>
      <c r="I59" s="28"/>
      <c r="J59" s="27">
        <v>0.0</v>
      </c>
      <c r="K59" s="20">
        <f t="shared" si="2"/>
        <v>4</v>
      </c>
      <c r="L59" s="28"/>
      <c r="M59" s="27">
        <v>0.0</v>
      </c>
      <c r="N59" s="20">
        <f t="shared" si="3"/>
        <v>4</v>
      </c>
      <c r="O59" s="28"/>
      <c r="P59" s="27">
        <v>0.0</v>
      </c>
      <c r="Q59" s="20">
        <f t="shared" si="4"/>
        <v>4</v>
      </c>
      <c r="R59" s="21"/>
      <c r="S59" s="19">
        <v>2.0</v>
      </c>
      <c r="T59" s="20">
        <f t="shared" si="5"/>
        <v>2</v>
      </c>
      <c r="U59" s="21"/>
      <c r="V59" s="16">
        <v>2.0</v>
      </c>
      <c r="W59" s="20">
        <f t="shared" si="6"/>
        <v>0</v>
      </c>
      <c r="X59" s="21"/>
      <c r="Y59" s="19">
        <v>0.0</v>
      </c>
      <c r="Z59" s="20">
        <f t="shared" si="7"/>
        <v>0</v>
      </c>
      <c r="AA59" s="21"/>
      <c r="AB59" s="19">
        <v>0.0</v>
      </c>
      <c r="AC59" s="20">
        <f t="shared" si="8"/>
        <v>0</v>
      </c>
      <c r="AD59" s="21"/>
      <c r="AE59" s="19">
        <v>0.0</v>
      </c>
      <c r="AF59" s="20">
        <f t="shared" si="9"/>
        <v>0</v>
      </c>
      <c r="AG59" s="21"/>
      <c r="AH59" s="19">
        <v>0.0</v>
      </c>
      <c r="AI59" s="20">
        <f t="shared" si="10"/>
        <v>0</v>
      </c>
      <c r="AJ59" s="21"/>
      <c r="AK59" s="19">
        <v>0.0</v>
      </c>
      <c r="AL59" s="20">
        <f t="shared" si="11"/>
        <v>0</v>
      </c>
      <c r="AM59" s="21"/>
      <c r="AN59" s="22">
        <f t="shared" si="12"/>
        <v>4</v>
      </c>
      <c r="AO59" s="22">
        <f t="shared" si="13"/>
        <v>0</v>
      </c>
    </row>
    <row r="60" ht="15.75" customHeight="1">
      <c r="A60" s="23"/>
      <c r="B60" s="23"/>
      <c r="C60" s="25" t="s">
        <v>107</v>
      </c>
      <c r="D60" s="17" t="s">
        <v>26</v>
      </c>
      <c r="E60" s="17" t="s">
        <v>27</v>
      </c>
      <c r="F60" s="26">
        <v>5.0</v>
      </c>
      <c r="G60" s="27">
        <v>0.0</v>
      </c>
      <c r="H60" s="20">
        <f t="shared" si="1"/>
        <v>5</v>
      </c>
      <c r="I60" s="28"/>
      <c r="J60" s="27">
        <v>0.0</v>
      </c>
      <c r="K60" s="20">
        <f t="shared" si="2"/>
        <v>5</v>
      </c>
      <c r="L60" s="28"/>
      <c r="M60" s="27">
        <v>0.0</v>
      </c>
      <c r="N60" s="20">
        <f t="shared" si="3"/>
        <v>5</v>
      </c>
      <c r="O60" s="28"/>
      <c r="P60" s="27">
        <v>0.0</v>
      </c>
      <c r="Q60" s="20">
        <f t="shared" si="4"/>
        <v>5</v>
      </c>
      <c r="R60" s="21"/>
      <c r="S60" s="19">
        <v>2.5</v>
      </c>
      <c r="T60" s="20">
        <f t="shared" si="5"/>
        <v>2.5</v>
      </c>
      <c r="U60" s="21"/>
      <c r="V60" s="16">
        <v>2.5</v>
      </c>
      <c r="W60" s="20">
        <f t="shared" si="6"/>
        <v>0</v>
      </c>
      <c r="X60" s="21"/>
      <c r="Y60" s="19">
        <v>0.0</v>
      </c>
      <c r="Z60" s="20">
        <f t="shared" si="7"/>
        <v>0</v>
      </c>
      <c r="AA60" s="21"/>
      <c r="AB60" s="19">
        <v>0.0</v>
      </c>
      <c r="AC60" s="20">
        <f t="shared" si="8"/>
        <v>0</v>
      </c>
      <c r="AD60" s="21"/>
      <c r="AE60" s="19">
        <v>0.0</v>
      </c>
      <c r="AF60" s="20">
        <f t="shared" si="9"/>
        <v>0</v>
      </c>
      <c r="AG60" s="21"/>
      <c r="AH60" s="19">
        <v>0.0</v>
      </c>
      <c r="AI60" s="20">
        <f t="shared" si="10"/>
        <v>0</v>
      </c>
      <c r="AJ60" s="21"/>
      <c r="AK60" s="19">
        <v>0.0</v>
      </c>
      <c r="AL60" s="20">
        <f t="shared" si="11"/>
        <v>0</v>
      </c>
      <c r="AM60" s="21"/>
      <c r="AN60" s="22">
        <f t="shared" si="12"/>
        <v>5</v>
      </c>
      <c r="AO60" s="22">
        <f t="shared" si="13"/>
        <v>0</v>
      </c>
    </row>
    <row r="61" ht="15.75" customHeight="1">
      <c r="A61" s="23"/>
      <c r="B61" s="23"/>
      <c r="C61" s="25" t="s">
        <v>108</v>
      </c>
      <c r="D61" s="17" t="s">
        <v>26</v>
      </c>
      <c r="E61" s="17" t="s">
        <v>27</v>
      </c>
      <c r="F61" s="26">
        <v>3.0</v>
      </c>
      <c r="G61" s="27">
        <v>0.0</v>
      </c>
      <c r="H61" s="20">
        <f t="shared" si="1"/>
        <v>3</v>
      </c>
      <c r="I61" s="28"/>
      <c r="J61" s="27">
        <v>0.0</v>
      </c>
      <c r="K61" s="20">
        <f t="shared" si="2"/>
        <v>3</v>
      </c>
      <c r="L61" s="28"/>
      <c r="M61" s="27">
        <v>0.0</v>
      </c>
      <c r="N61" s="20">
        <f t="shared" si="3"/>
        <v>3</v>
      </c>
      <c r="O61" s="28"/>
      <c r="P61" s="27">
        <v>0.0</v>
      </c>
      <c r="Q61" s="20">
        <f t="shared" si="4"/>
        <v>3</v>
      </c>
      <c r="R61" s="21"/>
      <c r="S61" s="19">
        <v>1.5</v>
      </c>
      <c r="T61" s="20">
        <f t="shared" si="5"/>
        <v>1.5</v>
      </c>
      <c r="U61" s="21"/>
      <c r="V61" s="16">
        <v>1.5</v>
      </c>
      <c r="W61" s="20">
        <f t="shared" si="6"/>
        <v>0</v>
      </c>
      <c r="X61" s="21"/>
      <c r="Y61" s="19">
        <v>0.0</v>
      </c>
      <c r="Z61" s="20">
        <f t="shared" si="7"/>
        <v>0</v>
      </c>
      <c r="AA61" s="21"/>
      <c r="AB61" s="19">
        <v>0.0</v>
      </c>
      <c r="AC61" s="20">
        <f t="shared" si="8"/>
        <v>0</v>
      </c>
      <c r="AD61" s="21"/>
      <c r="AE61" s="19">
        <v>0.0</v>
      </c>
      <c r="AF61" s="20">
        <f t="shared" si="9"/>
        <v>0</v>
      </c>
      <c r="AG61" s="21"/>
      <c r="AH61" s="19">
        <v>0.0</v>
      </c>
      <c r="AI61" s="20">
        <f t="shared" si="10"/>
        <v>0</v>
      </c>
      <c r="AJ61" s="21"/>
      <c r="AK61" s="19">
        <v>0.0</v>
      </c>
      <c r="AL61" s="20">
        <f t="shared" si="11"/>
        <v>0</v>
      </c>
      <c r="AM61" s="21"/>
      <c r="AN61" s="22">
        <f t="shared" si="12"/>
        <v>3</v>
      </c>
      <c r="AO61" s="22">
        <f t="shared" si="13"/>
        <v>0</v>
      </c>
    </row>
    <row r="62" ht="15.75" customHeight="1">
      <c r="A62" s="24"/>
      <c r="B62" s="24"/>
      <c r="C62" s="25" t="s">
        <v>109</v>
      </c>
      <c r="D62" s="17" t="s">
        <v>26</v>
      </c>
      <c r="E62" s="17" t="s">
        <v>27</v>
      </c>
      <c r="F62" s="26">
        <v>3.0</v>
      </c>
      <c r="G62" s="27">
        <v>0.0</v>
      </c>
      <c r="H62" s="20">
        <f t="shared" si="1"/>
        <v>3</v>
      </c>
      <c r="I62" s="28"/>
      <c r="J62" s="27">
        <v>0.0</v>
      </c>
      <c r="K62" s="20">
        <f t="shared" si="2"/>
        <v>3</v>
      </c>
      <c r="L62" s="28"/>
      <c r="M62" s="27">
        <v>0.0</v>
      </c>
      <c r="N62" s="20">
        <f t="shared" si="3"/>
        <v>3</v>
      </c>
      <c r="O62" s="28"/>
      <c r="P62" s="27">
        <v>0.0</v>
      </c>
      <c r="Q62" s="20">
        <f t="shared" si="4"/>
        <v>3</v>
      </c>
      <c r="R62" s="21"/>
      <c r="S62" s="19">
        <v>1.5</v>
      </c>
      <c r="T62" s="20">
        <f t="shared" si="5"/>
        <v>1.5</v>
      </c>
      <c r="U62" s="21"/>
      <c r="V62" s="16">
        <v>1.5</v>
      </c>
      <c r="W62" s="20">
        <f t="shared" si="6"/>
        <v>0</v>
      </c>
      <c r="X62" s="21"/>
      <c r="Y62" s="19">
        <v>0.0</v>
      </c>
      <c r="Z62" s="20">
        <f t="shared" si="7"/>
        <v>0</v>
      </c>
      <c r="AA62" s="21"/>
      <c r="AB62" s="19">
        <v>0.0</v>
      </c>
      <c r="AC62" s="20">
        <f t="shared" si="8"/>
        <v>0</v>
      </c>
      <c r="AD62" s="21"/>
      <c r="AE62" s="19">
        <v>0.0</v>
      </c>
      <c r="AF62" s="20">
        <f t="shared" si="9"/>
        <v>0</v>
      </c>
      <c r="AG62" s="21"/>
      <c r="AH62" s="19">
        <v>0.0</v>
      </c>
      <c r="AI62" s="20">
        <f t="shared" si="10"/>
        <v>0</v>
      </c>
      <c r="AJ62" s="21"/>
      <c r="AK62" s="19">
        <v>0.0</v>
      </c>
      <c r="AL62" s="20">
        <f t="shared" si="11"/>
        <v>0</v>
      </c>
      <c r="AM62" s="21"/>
      <c r="AN62" s="22">
        <f t="shared" si="12"/>
        <v>3</v>
      </c>
      <c r="AO62" s="22">
        <f t="shared" si="13"/>
        <v>0</v>
      </c>
    </row>
    <row r="63" ht="15.75" customHeight="1">
      <c r="A63" s="14" t="s">
        <v>110</v>
      </c>
      <c r="B63" s="15" t="s">
        <v>111</v>
      </c>
      <c r="C63" s="25" t="s">
        <v>112</v>
      </c>
      <c r="D63" s="17" t="s">
        <v>26</v>
      </c>
      <c r="E63" s="17" t="s">
        <v>27</v>
      </c>
      <c r="F63" s="26">
        <v>4.0</v>
      </c>
      <c r="G63" s="27">
        <v>0.0</v>
      </c>
      <c r="H63" s="20">
        <f t="shared" si="1"/>
        <v>4</v>
      </c>
      <c r="I63" s="28"/>
      <c r="J63" s="27">
        <v>0.0</v>
      </c>
      <c r="K63" s="20">
        <f t="shared" si="2"/>
        <v>4</v>
      </c>
      <c r="L63" s="28"/>
      <c r="M63" s="27">
        <v>0.0</v>
      </c>
      <c r="N63" s="20">
        <f t="shared" si="3"/>
        <v>4</v>
      </c>
      <c r="O63" s="28"/>
      <c r="P63" s="27">
        <v>0.0</v>
      </c>
      <c r="Q63" s="20">
        <f t="shared" si="4"/>
        <v>4</v>
      </c>
      <c r="R63" s="21"/>
      <c r="S63" s="19">
        <v>2.0</v>
      </c>
      <c r="T63" s="20">
        <f t="shared" si="5"/>
        <v>2</v>
      </c>
      <c r="U63" s="21"/>
      <c r="V63" s="16">
        <v>2.0</v>
      </c>
      <c r="W63" s="20">
        <f t="shared" si="6"/>
        <v>0</v>
      </c>
      <c r="X63" s="21"/>
      <c r="Y63" s="19">
        <v>0.0</v>
      </c>
      <c r="Z63" s="20">
        <f t="shared" si="7"/>
        <v>0</v>
      </c>
      <c r="AA63" s="21"/>
      <c r="AB63" s="19">
        <v>0.0</v>
      </c>
      <c r="AC63" s="20">
        <f t="shared" si="8"/>
        <v>0</v>
      </c>
      <c r="AD63" s="21"/>
      <c r="AE63" s="19">
        <v>0.0</v>
      </c>
      <c r="AF63" s="20">
        <f t="shared" si="9"/>
        <v>0</v>
      </c>
      <c r="AG63" s="21"/>
      <c r="AH63" s="19">
        <v>0.0</v>
      </c>
      <c r="AI63" s="20">
        <f t="shared" si="10"/>
        <v>0</v>
      </c>
      <c r="AJ63" s="21"/>
      <c r="AK63" s="19">
        <v>0.0</v>
      </c>
      <c r="AL63" s="20">
        <f t="shared" si="11"/>
        <v>0</v>
      </c>
      <c r="AM63" s="21"/>
      <c r="AN63" s="22">
        <f t="shared" si="12"/>
        <v>4</v>
      </c>
      <c r="AO63" s="22">
        <f t="shared" si="13"/>
        <v>0</v>
      </c>
    </row>
    <row r="64" ht="15.75" customHeight="1">
      <c r="A64" s="23"/>
      <c r="B64" s="23"/>
      <c r="C64" s="25" t="s">
        <v>113</v>
      </c>
      <c r="D64" s="17" t="s">
        <v>26</v>
      </c>
      <c r="E64" s="17" t="s">
        <v>27</v>
      </c>
      <c r="F64" s="26">
        <v>4.0</v>
      </c>
      <c r="G64" s="27">
        <v>0.0</v>
      </c>
      <c r="H64" s="20">
        <f t="shared" si="1"/>
        <v>4</v>
      </c>
      <c r="I64" s="28"/>
      <c r="J64" s="27">
        <v>0.0</v>
      </c>
      <c r="K64" s="20">
        <f t="shared" si="2"/>
        <v>4</v>
      </c>
      <c r="L64" s="28"/>
      <c r="M64" s="27">
        <v>0.0</v>
      </c>
      <c r="N64" s="20">
        <f t="shared" si="3"/>
        <v>4</v>
      </c>
      <c r="O64" s="28"/>
      <c r="P64" s="27">
        <v>0.0</v>
      </c>
      <c r="Q64" s="20">
        <f t="shared" si="4"/>
        <v>4</v>
      </c>
      <c r="R64" s="21"/>
      <c r="S64" s="19">
        <v>2.0</v>
      </c>
      <c r="T64" s="20">
        <f t="shared" si="5"/>
        <v>2</v>
      </c>
      <c r="U64" s="21"/>
      <c r="V64" s="16">
        <v>2.0</v>
      </c>
      <c r="W64" s="20">
        <f t="shared" si="6"/>
        <v>0</v>
      </c>
      <c r="X64" s="21"/>
      <c r="Y64" s="19">
        <v>0.0</v>
      </c>
      <c r="Z64" s="20">
        <f t="shared" si="7"/>
        <v>0</v>
      </c>
      <c r="AA64" s="21"/>
      <c r="AB64" s="19">
        <v>0.0</v>
      </c>
      <c r="AC64" s="20">
        <f t="shared" si="8"/>
        <v>0</v>
      </c>
      <c r="AD64" s="21"/>
      <c r="AE64" s="19">
        <v>0.0</v>
      </c>
      <c r="AF64" s="20">
        <f t="shared" si="9"/>
        <v>0</v>
      </c>
      <c r="AG64" s="21"/>
      <c r="AH64" s="19">
        <v>0.0</v>
      </c>
      <c r="AI64" s="20">
        <f t="shared" si="10"/>
        <v>0</v>
      </c>
      <c r="AJ64" s="21"/>
      <c r="AK64" s="19">
        <v>0.0</v>
      </c>
      <c r="AL64" s="20">
        <f t="shared" si="11"/>
        <v>0</v>
      </c>
      <c r="AM64" s="21"/>
      <c r="AN64" s="22">
        <f t="shared" si="12"/>
        <v>4</v>
      </c>
      <c r="AO64" s="22">
        <f t="shared" si="13"/>
        <v>0</v>
      </c>
    </row>
    <row r="65" ht="15.75" customHeight="1">
      <c r="A65" s="23"/>
      <c r="B65" s="23"/>
      <c r="C65" s="25" t="s">
        <v>114</v>
      </c>
      <c r="D65" s="17" t="s">
        <v>26</v>
      </c>
      <c r="E65" s="17" t="s">
        <v>27</v>
      </c>
      <c r="F65" s="26">
        <v>5.0</v>
      </c>
      <c r="G65" s="27">
        <v>0.0</v>
      </c>
      <c r="H65" s="20">
        <f t="shared" si="1"/>
        <v>5</v>
      </c>
      <c r="I65" s="28"/>
      <c r="J65" s="27">
        <v>0.0</v>
      </c>
      <c r="K65" s="20">
        <f t="shared" si="2"/>
        <v>5</v>
      </c>
      <c r="L65" s="28"/>
      <c r="M65" s="27">
        <v>0.0</v>
      </c>
      <c r="N65" s="20">
        <f t="shared" si="3"/>
        <v>5</v>
      </c>
      <c r="O65" s="28"/>
      <c r="P65" s="27">
        <v>0.0</v>
      </c>
      <c r="Q65" s="20">
        <f t="shared" si="4"/>
        <v>5</v>
      </c>
      <c r="R65" s="21"/>
      <c r="S65" s="19">
        <v>2.5</v>
      </c>
      <c r="T65" s="20">
        <f t="shared" si="5"/>
        <v>2.5</v>
      </c>
      <c r="U65" s="21"/>
      <c r="V65" s="16">
        <v>2.5</v>
      </c>
      <c r="W65" s="20">
        <f t="shared" si="6"/>
        <v>0</v>
      </c>
      <c r="X65" s="21"/>
      <c r="Y65" s="19">
        <v>0.0</v>
      </c>
      <c r="Z65" s="20">
        <f t="shared" si="7"/>
        <v>0</v>
      </c>
      <c r="AA65" s="21"/>
      <c r="AB65" s="19">
        <v>0.0</v>
      </c>
      <c r="AC65" s="20">
        <f t="shared" si="8"/>
        <v>0</v>
      </c>
      <c r="AD65" s="21"/>
      <c r="AE65" s="19">
        <v>0.0</v>
      </c>
      <c r="AF65" s="20">
        <f t="shared" si="9"/>
        <v>0</v>
      </c>
      <c r="AG65" s="21"/>
      <c r="AH65" s="19">
        <v>0.0</v>
      </c>
      <c r="AI65" s="20">
        <f t="shared" si="10"/>
        <v>0</v>
      </c>
      <c r="AJ65" s="21"/>
      <c r="AK65" s="19">
        <v>0.0</v>
      </c>
      <c r="AL65" s="20">
        <f t="shared" si="11"/>
        <v>0</v>
      </c>
      <c r="AM65" s="21"/>
      <c r="AN65" s="22">
        <f t="shared" si="12"/>
        <v>5</v>
      </c>
      <c r="AO65" s="22">
        <f t="shared" si="13"/>
        <v>0</v>
      </c>
    </row>
    <row r="66" ht="15.75" customHeight="1">
      <c r="A66" s="24"/>
      <c r="B66" s="24"/>
      <c r="C66" s="25" t="s">
        <v>115</v>
      </c>
      <c r="D66" s="17" t="s">
        <v>26</v>
      </c>
      <c r="E66" s="17" t="s">
        <v>27</v>
      </c>
      <c r="F66" s="26">
        <v>3.0</v>
      </c>
      <c r="G66" s="27">
        <v>0.0</v>
      </c>
      <c r="H66" s="20">
        <f t="shared" si="1"/>
        <v>3</v>
      </c>
      <c r="I66" s="28"/>
      <c r="J66" s="27">
        <v>0.0</v>
      </c>
      <c r="K66" s="20">
        <f t="shared" si="2"/>
        <v>3</v>
      </c>
      <c r="L66" s="28"/>
      <c r="M66" s="27">
        <v>0.0</v>
      </c>
      <c r="N66" s="20">
        <f t="shared" si="3"/>
        <v>3</v>
      </c>
      <c r="O66" s="28"/>
      <c r="P66" s="27">
        <v>0.0</v>
      </c>
      <c r="Q66" s="20">
        <f t="shared" si="4"/>
        <v>3</v>
      </c>
      <c r="R66" s="21"/>
      <c r="S66" s="19">
        <v>1.5</v>
      </c>
      <c r="T66" s="20">
        <f t="shared" si="5"/>
        <v>1.5</v>
      </c>
      <c r="U66" s="21"/>
      <c r="V66" s="16">
        <v>1.5</v>
      </c>
      <c r="W66" s="20">
        <f t="shared" si="6"/>
        <v>0</v>
      </c>
      <c r="X66" s="21"/>
      <c r="Y66" s="19">
        <v>0.0</v>
      </c>
      <c r="Z66" s="20">
        <f t="shared" si="7"/>
        <v>0</v>
      </c>
      <c r="AA66" s="21"/>
      <c r="AB66" s="19">
        <v>0.0</v>
      </c>
      <c r="AC66" s="20">
        <f t="shared" si="8"/>
        <v>0</v>
      </c>
      <c r="AD66" s="21"/>
      <c r="AE66" s="19">
        <v>0.0</v>
      </c>
      <c r="AF66" s="20">
        <f t="shared" si="9"/>
        <v>0</v>
      </c>
      <c r="AG66" s="21"/>
      <c r="AH66" s="19">
        <v>0.0</v>
      </c>
      <c r="AI66" s="20">
        <f t="shared" si="10"/>
        <v>0</v>
      </c>
      <c r="AJ66" s="21"/>
      <c r="AK66" s="19">
        <v>0.0</v>
      </c>
      <c r="AL66" s="20">
        <f t="shared" si="11"/>
        <v>0</v>
      </c>
      <c r="AM66" s="21"/>
      <c r="AN66" s="22">
        <f t="shared" si="12"/>
        <v>3</v>
      </c>
      <c r="AO66" s="22">
        <f t="shared" si="13"/>
        <v>0</v>
      </c>
    </row>
    <row r="67" ht="15.75" customHeight="1">
      <c r="A67" s="14" t="s">
        <v>116</v>
      </c>
      <c r="B67" s="15" t="s">
        <v>117</v>
      </c>
      <c r="C67" s="25" t="s">
        <v>118</v>
      </c>
      <c r="D67" s="17" t="s">
        <v>26</v>
      </c>
      <c r="E67" s="17" t="s">
        <v>27</v>
      </c>
      <c r="F67" s="26">
        <v>3.0</v>
      </c>
      <c r="G67" s="27">
        <v>1.5</v>
      </c>
      <c r="H67" s="20">
        <f t="shared" si="1"/>
        <v>1.5</v>
      </c>
      <c r="I67" s="28"/>
      <c r="J67" s="27">
        <v>1.5</v>
      </c>
      <c r="K67" s="20">
        <f t="shared" si="2"/>
        <v>0</v>
      </c>
      <c r="L67" s="28"/>
      <c r="M67" s="27">
        <v>0.0</v>
      </c>
      <c r="N67" s="20">
        <f t="shared" si="3"/>
        <v>0</v>
      </c>
      <c r="O67" s="28"/>
      <c r="P67" s="27">
        <v>0.0</v>
      </c>
      <c r="Q67" s="20">
        <f t="shared" si="4"/>
        <v>0</v>
      </c>
      <c r="R67" s="21"/>
      <c r="S67" s="19">
        <v>0.0</v>
      </c>
      <c r="T67" s="20">
        <f t="shared" si="5"/>
        <v>0</v>
      </c>
      <c r="U67" s="21"/>
      <c r="V67" s="16">
        <v>0.0</v>
      </c>
      <c r="W67" s="20">
        <f t="shared" si="6"/>
        <v>0</v>
      </c>
      <c r="X67" s="21"/>
      <c r="Y67" s="19">
        <v>0.0</v>
      </c>
      <c r="Z67" s="20">
        <f t="shared" si="7"/>
        <v>0</v>
      </c>
      <c r="AA67" s="21"/>
      <c r="AB67" s="19">
        <v>0.0</v>
      </c>
      <c r="AC67" s="20">
        <f t="shared" si="8"/>
        <v>0</v>
      </c>
      <c r="AD67" s="21"/>
      <c r="AE67" s="19">
        <v>0.0</v>
      </c>
      <c r="AF67" s="20">
        <f t="shared" si="9"/>
        <v>0</v>
      </c>
      <c r="AG67" s="21"/>
      <c r="AH67" s="19">
        <v>0.0</v>
      </c>
      <c r="AI67" s="20">
        <f t="shared" si="10"/>
        <v>0</v>
      </c>
      <c r="AJ67" s="21"/>
      <c r="AK67" s="19">
        <v>0.0</v>
      </c>
      <c r="AL67" s="20">
        <f t="shared" si="11"/>
        <v>0</v>
      </c>
      <c r="AM67" s="21"/>
      <c r="AN67" s="22">
        <f t="shared" si="12"/>
        <v>3</v>
      </c>
      <c r="AO67" s="22">
        <f t="shared" si="13"/>
        <v>0</v>
      </c>
    </row>
    <row r="68" ht="15.75" customHeight="1">
      <c r="A68" s="23"/>
      <c r="B68" s="23"/>
      <c r="C68" s="25" t="s">
        <v>119</v>
      </c>
      <c r="D68" s="17" t="s">
        <v>26</v>
      </c>
      <c r="E68" s="17" t="s">
        <v>27</v>
      </c>
      <c r="F68" s="26">
        <v>5.0</v>
      </c>
      <c r="G68" s="27">
        <v>2.5</v>
      </c>
      <c r="H68" s="20">
        <f t="shared" si="1"/>
        <v>2.5</v>
      </c>
      <c r="I68" s="28"/>
      <c r="J68" s="27">
        <v>2.5</v>
      </c>
      <c r="K68" s="20">
        <f t="shared" si="2"/>
        <v>0</v>
      </c>
      <c r="L68" s="28"/>
      <c r="M68" s="27">
        <v>0.0</v>
      </c>
      <c r="N68" s="20">
        <f t="shared" si="3"/>
        <v>0</v>
      </c>
      <c r="O68" s="28"/>
      <c r="P68" s="27">
        <v>0.0</v>
      </c>
      <c r="Q68" s="20">
        <f t="shared" si="4"/>
        <v>0</v>
      </c>
      <c r="R68" s="21"/>
      <c r="S68" s="19">
        <v>0.0</v>
      </c>
      <c r="T68" s="20">
        <f t="shared" si="5"/>
        <v>0</v>
      </c>
      <c r="U68" s="21"/>
      <c r="V68" s="16">
        <v>0.0</v>
      </c>
      <c r="W68" s="20">
        <f t="shared" si="6"/>
        <v>0</v>
      </c>
      <c r="X68" s="21"/>
      <c r="Y68" s="19">
        <v>0.0</v>
      </c>
      <c r="Z68" s="20">
        <f t="shared" si="7"/>
        <v>0</v>
      </c>
      <c r="AA68" s="21"/>
      <c r="AB68" s="19">
        <v>0.0</v>
      </c>
      <c r="AC68" s="20">
        <f t="shared" si="8"/>
        <v>0</v>
      </c>
      <c r="AD68" s="21"/>
      <c r="AE68" s="19">
        <v>0.0</v>
      </c>
      <c r="AF68" s="20">
        <f t="shared" si="9"/>
        <v>0</v>
      </c>
      <c r="AG68" s="21"/>
      <c r="AH68" s="19">
        <v>0.0</v>
      </c>
      <c r="AI68" s="20">
        <f t="shared" si="10"/>
        <v>0</v>
      </c>
      <c r="AJ68" s="21"/>
      <c r="AK68" s="19">
        <v>0.0</v>
      </c>
      <c r="AL68" s="20">
        <f t="shared" si="11"/>
        <v>0</v>
      </c>
      <c r="AM68" s="21"/>
      <c r="AN68" s="22">
        <f t="shared" si="12"/>
        <v>5</v>
      </c>
      <c r="AO68" s="22">
        <f t="shared" si="13"/>
        <v>0</v>
      </c>
    </row>
    <row r="69" ht="15.75" customHeight="1">
      <c r="A69" s="23"/>
      <c r="B69" s="23"/>
      <c r="C69" s="25" t="s">
        <v>120</v>
      </c>
      <c r="D69" s="17" t="s">
        <v>26</v>
      </c>
      <c r="E69" s="17" t="s">
        <v>27</v>
      </c>
      <c r="F69" s="26">
        <v>4.0</v>
      </c>
      <c r="G69" s="27">
        <v>2.0</v>
      </c>
      <c r="H69" s="20">
        <f t="shared" si="1"/>
        <v>2</v>
      </c>
      <c r="I69" s="28"/>
      <c r="J69" s="27">
        <v>2.0</v>
      </c>
      <c r="K69" s="20">
        <f t="shared" si="2"/>
        <v>0</v>
      </c>
      <c r="L69" s="28"/>
      <c r="M69" s="27">
        <v>0.0</v>
      </c>
      <c r="N69" s="20">
        <f t="shared" si="3"/>
        <v>0</v>
      </c>
      <c r="O69" s="28"/>
      <c r="P69" s="27">
        <v>0.0</v>
      </c>
      <c r="Q69" s="20">
        <f t="shared" si="4"/>
        <v>0</v>
      </c>
      <c r="R69" s="21"/>
      <c r="S69" s="19">
        <v>0.0</v>
      </c>
      <c r="T69" s="20">
        <f t="shared" si="5"/>
        <v>0</v>
      </c>
      <c r="U69" s="21"/>
      <c r="V69" s="16">
        <v>0.0</v>
      </c>
      <c r="W69" s="20">
        <f t="shared" si="6"/>
        <v>0</v>
      </c>
      <c r="X69" s="21"/>
      <c r="Y69" s="19">
        <v>0.0</v>
      </c>
      <c r="Z69" s="20">
        <f t="shared" si="7"/>
        <v>0</v>
      </c>
      <c r="AA69" s="21"/>
      <c r="AB69" s="19">
        <v>0.0</v>
      </c>
      <c r="AC69" s="20">
        <f t="shared" si="8"/>
        <v>0</v>
      </c>
      <c r="AD69" s="21"/>
      <c r="AE69" s="19">
        <v>0.0</v>
      </c>
      <c r="AF69" s="20">
        <f t="shared" si="9"/>
        <v>0</v>
      </c>
      <c r="AG69" s="21"/>
      <c r="AH69" s="19">
        <v>0.0</v>
      </c>
      <c r="AI69" s="20">
        <f t="shared" si="10"/>
        <v>0</v>
      </c>
      <c r="AJ69" s="21"/>
      <c r="AK69" s="19">
        <v>0.0</v>
      </c>
      <c r="AL69" s="20">
        <f t="shared" si="11"/>
        <v>0</v>
      </c>
      <c r="AM69" s="21"/>
      <c r="AN69" s="22">
        <f t="shared" si="12"/>
        <v>4</v>
      </c>
      <c r="AO69" s="22">
        <f t="shared" si="13"/>
        <v>0</v>
      </c>
    </row>
    <row r="70" ht="15.75" customHeight="1">
      <c r="A70" s="24"/>
      <c r="B70" s="24"/>
      <c r="C70" s="25" t="s">
        <v>121</v>
      </c>
      <c r="D70" s="17" t="s">
        <v>26</v>
      </c>
      <c r="E70" s="17" t="s">
        <v>27</v>
      </c>
      <c r="F70" s="26">
        <v>3.0</v>
      </c>
      <c r="G70" s="27">
        <v>1.5</v>
      </c>
      <c r="H70" s="20">
        <f t="shared" si="1"/>
        <v>1.5</v>
      </c>
      <c r="I70" s="28"/>
      <c r="J70" s="27">
        <v>1.5</v>
      </c>
      <c r="K70" s="20">
        <f t="shared" si="2"/>
        <v>0</v>
      </c>
      <c r="L70" s="28"/>
      <c r="M70" s="27">
        <v>0.0</v>
      </c>
      <c r="N70" s="20">
        <f t="shared" si="3"/>
        <v>0</v>
      </c>
      <c r="O70" s="28"/>
      <c r="P70" s="27">
        <v>0.0</v>
      </c>
      <c r="Q70" s="20">
        <f t="shared" si="4"/>
        <v>0</v>
      </c>
      <c r="R70" s="21"/>
      <c r="S70" s="19">
        <v>0.0</v>
      </c>
      <c r="T70" s="20">
        <f t="shared" si="5"/>
        <v>0</v>
      </c>
      <c r="U70" s="21"/>
      <c r="V70" s="16">
        <v>0.0</v>
      </c>
      <c r="W70" s="20">
        <f t="shared" si="6"/>
        <v>0</v>
      </c>
      <c r="X70" s="21"/>
      <c r="Y70" s="19">
        <v>0.0</v>
      </c>
      <c r="Z70" s="20">
        <f t="shared" si="7"/>
        <v>0</v>
      </c>
      <c r="AA70" s="21"/>
      <c r="AB70" s="19">
        <v>0.0</v>
      </c>
      <c r="AC70" s="20">
        <f t="shared" si="8"/>
        <v>0</v>
      </c>
      <c r="AD70" s="21"/>
      <c r="AE70" s="19">
        <v>0.0</v>
      </c>
      <c r="AF70" s="20">
        <f t="shared" si="9"/>
        <v>0</v>
      </c>
      <c r="AG70" s="21"/>
      <c r="AH70" s="19">
        <v>0.0</v>
      </c>
      <c r="AI70" s="20">
        <f t="shared" si="10"/>
        <v>0</v>
      </c>
      <c r="AJ70" s="21"/>
      <c r="AK70" s="19">
        <v>0.0</v>
      </c>
      <c r="AL70" s="20">
        <f t="shared" si="11"/>
        <v>0</v>
      </c>
      <c r="AM70" s="21"/>
      <c r="AN70" s="22">
        <f t="shared" si="12"/>
        <v>3</v>
      </c>
      <c r="AO70" s="22">
        <f t="shared" si="13"/>
        <v>0</v>
      </c>
    </row>
    <row r="71" ht="15.75" customHeight="1">
      <c r="A71" s="14" t="s">
        <v>122</v>
      </c>
      <c r="B71" s="15" t="s">
        <v>123</v>
      </c>
      <c r="C71" s="25" t="s">
        <v>124</v>
      </c>
      <c r="D71" s="17" t="s">
        <v>26</v>
      </c>
      <c r="E71" s="17" t="s">
        <v>27</v>
      </c>
      <c r="F71" s="26">
        <v>2.0</v>
      </c>
      <c r="G71" s="27">
        <v>1.0</v>
      </c>
      <c r="H71" s="20">
        <f t="shared" si="1"/>
        <v>1</v>
      </c>
      <c r="I71" s="28"/>
      <c r="J71" s="27">
        <v>1.0</v>
      </c>
      <c r="K71" s="20">
        <f t="shared" si="2"/>
        <v>0</v>
      </c>
      <c r="L71" s="28"/>
      <c r="M71" s="27">
        <v>0.0</v>
      </c>
      <c r="N71" s="20">
        <f t="shared" si="3"/>
        <v>0</v>
      </c>
      <c r="O71" s="28"/>
      <c r="P71" s="27">
        <v>0.0</v>
      </c>
      <c r="Q71" s="20">
        <f t="shared" si="4"/>
        <v>0</v>
      </c>
      <c r="R71" s="21"/>
      <c r="S71" s="19">
        <v>0.0</v>
      </c>
      <c r="T71" s="20">
        <f t="shared" si="5"/>
        <v>0</v>
      </c>
      <c r="U71" s="21"/>
      <c r="V71" s="16">
        <v>0.0</v>
      </c>
      <c r="W71" s="20">
        <f t="shared" si="6"/>
        <v>0</v>
      </c>
      <c r="X71" s="21"/>
      <c r="Y71" s="19">
        <v>0.0</v>
      </c>
      <c r="Z71" s="20">
        <f t="shared" si="7"/>
        <v>0</v>
      </c>
      <c r="AA71" s="21"/>
      <c r="AB71" s="19">
        <v>0.0</v>
      </c>
      <c r="AC71" s="20">
        <f t="shared" si="8"/>
        <v>0</v>
      </c>
      <c r="AD71" s="21"/>
      <c r="AE71" s="19">
        <v>0.0</v>
      </c>
      <c r="AF71" s="20">
        <f t="shared" si="9"/>
        <v>0</v>
      </c>
      <c r="AG71" s="21"/>
      <c r="AH71" s="19">
        <v>0.0</v>
      </c>
      <c r="AI71" s="20">
        <f t="shared" si="10"/>
        <v>0</v>
      </c>
      <c r="AJ71" s="21"/>
      <c r="AK71" s="19">
        <v>0.0</v>
      </c>
      <c r="AL71" s="20">
        <f t="shared" si="11"/>
        <v>0</v>
      </c>
      <c r="AM71" s="21"/>
      <c r="AN71" s="22">
        <f t="shared" si="12"/>
        <v>2</v>
      </c>
      <c r="AO71" s="22">
        <f t="shared" si="13"/>
        <v>0</v>
      </c>
    </row>
    <row r="72" ht="15.75" customHeight="1">
      <c r="A72" s="23"/>
      <c r="B72" s="23"/>
      <c r="C72" s="25" t="s">
        <v>125</v>
      </c>
      <c r="D72" s="17" t="s">
        <v>26</v>
      </c>
      <c r="E72" s="17" t="s">
        <v>27</v>
      </c>
      <c r="F72" s="26">
        <v>4.0</v>
      </c>
      <c r="G72" s="27">
        <v>2.0</v>
      </c>
      <c r="H72" s="20">
        <f t="shared" si="1"/>
        <v>2</v>
      </c>
      <c r="I72" s="28"/>
      <c r="J72" s="27">
        <v>2.0</v>
      </c>
      <c r="K72" s="20">
        <f t="shared" si="2"/>
        <v>0</v>
      </c>
      <c r="L72" s="28"/>
      <c r="M72" s="27">
        <v>0.0</v>
      </c>
      <c r="N72" s="20">
        <f t="shared" si="3"/>
        <v>0</v>
      </c>
      <c r="O72" s="28"/>
      <c r="P72" s="27">
        <v>0.0</v>
      </c>
      <c r="Q72" s="20">
        <f t="shared" si="4"/>
        <v>0</v>
      </c>
      <c r="R72" s="21"/>
      <c r="S72" s="19">
        <v>0.0</v>
      </c>
      <c r="T72" s="20">
        <f t="shared" si="5"/>
        <v>0</v>
      </c>
      <c r="U72" s="21"/>
      <c r="V72" s="16">
        <v>0.0</v>
      </c>
      <c r="W72" s="20">
        <f t="shared" si="6"/>
        <v>0</v>
      </c>
      <c r="X72" s="21"/>
      <c r="Y72" s="19">
        <v>0.0</v>
      </c>
      <c r="Z72" s="20">
        <f t="shared" si="7"/>
        <v>0</v>
      </c>
      <c r="AA72" s="21"/>
      <c r="AB72" s="19">
        <v>0.0</v>
      </c>
      <c r="AC72" s="20">
        <f t="shared" si="8"/>
        <v>0</v>
      </c>
      <c r="AD72" s="21"/>
      <c r="AE72" s="19">
        <v>0.0</v>
      </c>
      <c r="AF72" s="20">
        <f t="shared" si="9"/>
        <v>0</v>
      </c>
      <c r="AG72" s="21"/>
      <c r="AH72" s="19">
        <v>0.0</v>
      </c>
      <c r="AI72" s="20">
        <f t="shared" si="10"/>
        <v>0</v>
      </c>
      <c r="AJ72" s="21"/>
      <c r="AK72" s="19">
        <v>0.0</v>
      </c>
      <c r="AL72" s="20">
        <f t="shared" si="11"/>
        <v>0</v>
      </c>
      <c r="AM72" s="21"/>
      <c r="AN72" s="22">
        <f t="shared" si="12"/>
        <v>4</v>
      </c>
      <c r="AO72" s="22">
        <f t="shared" si="13"/>
        <v>0</v>
      </c>
    </row>
    <row r="73" ht="15.75" customHeight="1">
      <c r="A73" s="23"/>
      <c r="B73" s="23"/>
      <c r="C73" s="25" t="s">
        <v>126</v>
      </c>
      <c r="D73" s="17" t="s">
        <v>26</v>
      </c>
      <c r="E73" s="17" t="s">
        <v>27</v>
      </c>
      <c r="F73" s="26">
        <v>4.0</v>
      </c>
      <c r="G73" s="27">
        <v>2.0</v>
      </c>
      <c r="H73" s="20">
        <f t="shared" si="1"/>
        <v>2</v>
      </c>
      <c r="I73" s="28"/>
      <c r="J73" s="27">
        <v>2.0</v>
      </c>
      <c r="K73" s="20">
        <f t="shared" si="2"/>
        <v>0</v>
      </c>
      <c r="L73" s="28"/>
      <c r="M73" s="27">
        <v>0.0</v>
      </c>
      <c r="N73" s="20">
        <f t="shared" si="3"/>
        <v>0</v>
      </c>
      <c r="O73" s="28"/>
      <c r="P73" s="27">
        <v>0.0</v>
      </c>
      <c r="Q73" s="20">
        <f t="shared" si="4"/>
        <v>0</v>
      </c>
      <c r="R73" s="21"/>
      <c r="S73" s="19">
        <v>0.0</v>
      </c>
      <c r="T73" s="20">
        <f t="shared" si="5"/>
        <v>0</v>
      </c>
      <c r="U73" s="21"/>
      <c r="V73" s="16">
        <v>0.0</v>
      </c>
      <c r="W73" s="20">
        <f t="shared" si="6"/>
        <v>0</v>
      </c>
      <c r="X73" s="21"/>
      <c r="Y73" s="19">
        <v>0.0</v>
      </c>
      <c r="Z73" s="20">
        <f t="shared" si="7"/>
        <v>0</v>
      </c>
      <c r="AA73" s="21"/>
      <c r="AB73" s="19">
        <v>0.0</v>
      </c>
      <c r="AC73" s="20">
        <f t="shared" si="8"/>
        <v>0</v>
      </c>
      <c r="AD73" s="21"/>
      <c r="AE73" s="19">
        <v>0.0</v>
      </c>
      <c r="AF73" s="20">
        <f t="shared" si="9"/>
        <v>0</v>
      </c>
      <c r="AG73" s="21"/>
      <c r="AH73" s="19">
        <v>0.0</v>
      </c>
      <c r="AI73" s="20">
        <f t="shared" si="10"/>
        <v>0</v>
      </c>
      <c r="AJ73" s="21"/>
      <c r="AK73" s="19">
        <v>0.0</v>
      </c>
      <c r="AL73" s="20">
        <f t="shared" si="11"/>
        <v>0</v>
      </c>
      <c r="AM73" s="21"/>
      <c r="AN73" s="22">
        <f t="shared" si="12"/>
        <v>4</v>
      </c>
      <c r="AO73" s="22">
        <f t="shared" si="13"/>
        <v>0</v>
      </c>
    </row>
    <row r="74" ht="15.75" customHeight="1">
      <c r="A74" s="24"/>
      <c r="B74" s="24"/>
      <c r="C74" s="25" t="s">
        <v>127</v>
      </c>
      <c r="D74" s="17" t="s">
        <v>26</v>
      </c>
      <c r="E74" s="17" t="s">
        <v>27</v>
      </c>
      <c r="F74" s="26">
        <v>2.0</v>
      </c>
      <c r="G74" s="27">
        <v>1.0</v>
      </c>
      <c r="H74" s="20">
        <f t="shared" si="1"/>
        <v>1</v>
      </c>
      <c r="I74" s="28"/>
      <c r="J74" s="27">
        <v>1.0</v>
      </c>
      <c r="K74" s="20">
        <f t="shared" si="2"/>
        <v>0</v>
      </c>
      <c r="L74" s="28"/>
      <c r="M74" s="27">
        <v>0.0</v>
      </c>
      <c r="N74" s="20">
        <f t="shared" si="3"/>
        <v>0</v>
      </c>
      <c r="O74" s="28"/>
      <c r="P74" s="27">
        <v>0.0</v>
      </c>
      <c r="Q74" s="20">
        <f t="shared" si="4"/>
        <v>0</v>
      </c>
      <c r="R74" s="21"/>
      <c r="S74" s="19">
        <v>0.0</v>
      </c>
      <c r="T74" s="20">
        <f t="shared" si="5"/>
        <v>0</v>
      </c>
      <c r="U74" s="21"/>
      <c r="V74" s="16">
        <v>0.0</v>
      </c>
      <c r="W74" s="20">
        <f t="shared" si="6"/>
        <v>0</v>
      </c>
      <c r="X74" s="21"/>
      <c r="Y74" s="19">
        <v>0.0</v>
      </c>
      <c r="Z74" s="20">
        <f t="shared" si="7"/>
        <v>0</v>
      </c>
      <c r="AA74" s="21"/>
      <c r="AB74" s="19">
        <v>0.0</v>
      </c>
      <c r="AC74" s="20">
        <f t="shared" si="8"/>
        <v>0</v>
      </c>
      <c r="AD74" s="21"/>
      <c r="AE74" s="19">
        <v>0.0</v>
      </c>
      <c r="AF74" s="20">
        <f t="shared" si="9"/>
        <v>0</v>
      </c>
      <c r="AG74" s="21"/>
      <c r="AH74" s="19">
        <v>0.0</v>
      </c>
      <c r="AI74" s="20">
        <f t="shared" si="10"/>
        <v>0</v>
      </c>
      <c r="AJ74" s="21"/>
      <c r="AK74" s="19">
        <v>0.0</v>
      </c>
      <c r="AL74" s="20">
        <f t="shared" si="11"/>
        <v>0</v>
      </c>
      <c r="AM74" s="21"/>
      <c r="AN74" s="22">
        <f t="shared" si="12"/>
        <v>2</v>
      </c>
      <c r="AO74" s="22">
        <f t="shared" si="13"/>
        <v>0</v>
      </c>
    </row>
    <row r="75" ht="15.75" customHeight="1">
      <c r="A75" s="14" t="s">
        <v>128</v>
      </c>
      <c r="B75" s="15" t="s">
        <v>129</v>
      </c>
      <c r="C75" s="25" t="s">
        <v>130</v>
      </c>
      <c r="D75" s="17" t="s">
        <v>26</v>
      </c>
      <c r="E75" s="17" t="s">
        <v>27</v>
      </c>
      <c r="F75" s="26">
        <v>4.0</v>
      </c>
      <c r="G75" s="27">
        <v>0.0</v>
      </c>
      <c r="H75" s="20">
        <f t="shared" si="1"/>
        <v>4</v>
      </c>
      <c r="I75" s="28"/>
      <c r="J75" s="27">
        <v>0.0</v>
      </c>
      <c r="K75" s="20">
        <f t="shared" si="2"/>
        <v>4</v>
      </c>
      <c r="L75" s="28"/>
      <c r="M75" s="27">
        <v>0.0</v>
      </c>
      <c r="N75" s="20">
        <f t="shared" si="3"/>
        <v>4</v>
      </c>
      <c r="O75" s="28"/>
      <c r="P75" s="27">
        <v>0.0</v>
      </c>
      <c r="Q75" s="20">
        <f t="shared" si="4"/>
        <v>4</v>
      </c>
      <c r="R75" s="21"/>
      <c r="S75" s="19">
        <v>0.0</v>
      </c>
      <c r="T75" s="20">
        <f t="shared" si="5"/>
        <v>4</v>
      </c>
      <c r="U75" s="21"/>
      <c r="V75" s="16">
        <v>0.0</v>
      </c>
      <c r="W75" s="20">
        <f t="shared" si="6"/>
        <v>4</v>
      </c>
      <c r="X75" s="21"/>
      <c r="Y75" s="19">
        <v>2.0</v>
      </c>
      <c r="Z75" s="20">
        <f t="shared" si="7"/>
        <v>2</v>
      </c>
      <c r="AA75" s="21"/>
      <c r="AB75" s="19">
        <v>2.0</v>
      </c>
      <c r="AC75" s="20">
        <f t="shared" si="8"/>
        <v>0</v>
      </c>
      <c r="AD75" s="21"/>
      <c r="AE75" s="19">
        <v>0.0</v>
      </c>
      <c r="AF75" s="20">
        <f t="shared" si="9"/>
        <v>0</v>
      </c>
      <c r="AG75" s="21"/>
      <c r="AH75" s="19">
        <v>0.0</v>
      </c>
      <c r="AI75" s="20">
        <f t="shared" si="10"/>
        <v>0</v>
      </c>
      <c r="AJ75" s="21"/>
      <c r="AK75" s="19">
        <v>0.0</v>
      </c>
      <c r="AL75" s="20">
        <f t="shared" si="11"/>
        <v>0</v>
      </c>
      <c r="AM75" s="21"/>
      <c r="AN75" s="22">
        <f t="shared" si="12"/>
        <v>4</v>
      </c>
      <c r="AO75" s="22">
        <f t="shared" si="13"/>
        <v>0</v>
      </c>
    </row>
    <row r="76" ht="15.75" customHeight="1">
      <c r="A76" s="23"/>
      <c r="B76" s="23"/>
      <c r="C76" s="25" t="s">
        <v>131</v>
      </c>
      <c r="D76" s="17" t="s">
        <v>26</v>
      </c>
      <c r="E76" s="17" t="s">
        <v>27</v>
      </c>
      <c r="F76" s="26">
        <v>5.0</v>
      </c>
      <c r="G76" s="27">
        <v>0.0</v>
      </c>
      <c r="H76" s="20">
        <f t="shared" si="1"/>
        <v>5</v>
      </c>
      <c r="I76" s="28"/>
      <c r="J76" s="27">
        <v>0.0</v>
      </c>
      <c r="K76" s="20">
        <f t="shared" si="2"/>
        <v>5</v>
      </c>
      <c r="L76" s="28"/>
      <c r="M76" s="27">
        <v>0.0</v>
      </c>
      <c r="N76" s="20">
        <f t="shared" si="3"/>
        <v>5</v>
      </c>
      <c r="O76" s="28"/>
      <c r="P76" s="27">
        <v>0.0</v>
      </c>
      <c r="Q76" s="20">
        <f t="shared" si="4"/>
        <v>5</v>
      </c>
      <c r="R76" s="21"/>
      <c r="S76" s="19">
        <v>0.0</v>
      </c>
      <c r="T76" s="20">
        <f t="shared" si="5"/>
        <v>5</v>
      </c>
      <c r="U76" s="21"/>
      <c r="V76" s="16">
        <v>0.0</v>
      </c>
      <c r="W76" s="20">
        <f t="shared" si="6"/>
        <v>5</v>
      </c>
      <c r="X76" s="21"/>
      <c r="Y76" s="19">
        <v>2.5</v>
      </c>
      <c r="Z76" s="20">
        <f t="shared" si="7"/>
        <v>2.5</v>
      </c>
      <c r="AA76" s="21"/>
      <c r="AB76" s="19">
        <v>2.5</v>
      </c>
      <c r="AC76" s="20">
        <f t="shared" si="8"/>
        <v>0</v>
      </c>
      <c r="AD76" s="21"/>
      <c r="AE76" s="19">
        <v>0.0</v>
      </c>
      <c r="AF76" s="20">
        <f t="shared" si="9"/>
        <v>0</v>
      </c>
      <c r="AG76" s="21"/>
      <c r="AH76" s="19">
        <v>0.0</v>
      </c>
      <c r="AI76" s="20">
        <f t="shared" si="10"/>
        <v>0</v>
      </c>
      <c r="AJ76" s="21"/>
      <c r="AK76" s="19">
        <v>0.0</v>
      </c>
      <c r="AL76" s="20">
        <f t="shared" si="11"/>
        <v>0</v>
      </c>
      <c r="AM76" s="21"/>
      <c r="AN76" s="22">
        <f t="shared" si="12"/>
        <v>5</v>
      </c>
      <c r="AO76" s="22">
        <f t="shared" si="13"/>
        <v>0</v>
      </c>
    </row>
    <row r="77" ht="15.75" customHeight="1">
      <c r="A77" s="23"/>
      <c r="B77" s="23"/>
      <c r="C77" s="25" t="s">
        <v>132</v>
      </c>
      <c r="D77" s="17" t="s">
        <v>26</v>
      </c>
      <c r="E77" s="17" t="s">
        <v>27</v>
      </c>
      <c r="F77" s="26">
        <v>5.0</v>
      </c>
      <c r="G77" s="27">
        <v>0.0</v>
      </c>
      <c r="H77" s="20">
        <f t="shared" si="1"/>
        <v>5</v>
      </c>
      <c r="I77" s="28"/>
      <c r="J77" s="27">
        <v>0.0</v>
      </c>
      <c r="K77" s="20">
        <f t="shared" si="2"/>
        <v>5</v>
      </c>
      <c r="L77" s="28"/>
      <c r="M77" s="27">
        <v>0.0</v>
      </c>
      <c r="N77" s="20">
        <f t="shared" si="3"/>
        <v>5</v>
      </c>
      <c r="O77" s="28"/>
      <c r="P77" s="27">
        <v>0.0</v>
      </c>
      <c r="Q77" s="20">
        <f t="shared" si="4"/>
        <v>5</v>
      </c>
      <c r="R77" s="21"/>
      <c r="S77" s="19">
        <v>0.0</v>
      </c>
      <c r="T77" s="20">
        <f t="shared" si="5"/>
        <v>5</v>
      </c>
      <c r="U77" s="21"/>
      <c r="V77" s="16">
        <v>0.0</v>
      </c>
      <c r="W77" s="20">
        <f t="shared" si="6"/>
        <v>5</v>
      </c>
      <c r="X77" s="21"/>
      <c r="Y77" s="19">
        <v>2.5</v>
      </c>
      <c r="Z77" s="20">
        <f t="shared" si="7"/>
        <v>2.5</v>
      </c>
      <c r="AA77" s="21"/>
      <c r="AB77" s="19">
        <v>2.5</v>
      </c>
      <c r="AC77" s="20">
        <f t="shared" si="8"/>
        <v>0</v>
      </c>
      <c r="AD77" s="21"/>
      <c r="AE77" s="19">
        <v>0.0</v>
      </c>
      <c r="AF77" s="20">
        <f t="shared" si="9"/>
        <v>0</v>
      </c>
      <c r="AG77" s="21"/>
      <c r="AH77" s="19">
        <v>0.0</v>
      </c>
      <c r="AI77" s="20">
        <f t="shared" si="10"/>
        <v>0</v>
      </c>
      <c r="AJ77" s="21"/>
      <c r="AK77" s="19">
        <v>0.0</v>
      </c>
      <c r="AL77" s="20">
        <f t="shared" si="11"/>
        <v>0</v>
      </c>
      <c r="AM77" s="21"/>
      <c r="AN77" s="22">
        <f t="shared" si="12"/>
        <v>5</v>
      </c>
      <c r="AO77" s="22">
        <f t="shared" si="13"/>
        <v>0</v>
      </c>
    </row>
    <row r="78" ht="15.75" customHeight="1">
      <c r="A78" s="24"/>
      <c r="B78" s="24"/>
      <c r="C78" s="25" t="s">
        <v>133</v>
      </c>
      <c r="D78" s="17" t="s">
        <v>26</v>
      </c>
      <c r="E78" s="17" t="s">
        <v>27</v>
      </c>
      <c r="F78" s="26">
        <v>4.0</v>
      </c>
      <c r="G78" s="27">
        <v>0.0</v>
      </c>
      <c r="H78" s="20">
        <f t="shared" si="1"/>
        <v>4</v>
      </c>
      <c r="I78" s="28"/>
      <c r="J78" s="27">
        <v>0.0</v>
      </c>
      <c r="K78" s="20">
        <f t="shared" si="2"/>
        <v>4</v>
      </c>
      <c r="L78" s="28"/>
      <c r="M78" s="27">
        <v>0.0</v>
      </c>
      <c r="N78" s="20">
        <f t="shared" si="3"/>
        <v>4</v>
      </c>
      <c r="O78" s="28"/>
      <c r="P78" s="27">
        <v>0.0</v>
      </c>
      <c r="Q78" s="20">
        <f t="shared" si="4"/>
        <v>4</v>
      </c>
      <c r="R78" s="21"/>
      <c r="S78" s="19">
        <v>0.0</v>
      </c>
      <c r="T78" s="20">
        <f t="shared" si="5"/>
        <v>4</v>
      </c>
      <c r="U78" s="21"/>
      <c r="V78" s="16">
        <v>0.0</v>
      </c>
      <c r="W78" s="20">
        <f t="shared" si="6"/>
        <v>4</v>
      </c>
      <c r="X78" s="21"/>
      <c r="Y78" s="19">
        <v>2.0</v>
      </c>
      <c r="Z78" s="20">
        <f t="shared" si="7"/>
        <v>2</v>
      </c>
      <c r="AA78" s="21"/>
      <c r="AB78" s="19">
        <v>2.0</v>
      </c>
      <c r="AC78" s="20">
        <f t="shared" si="8"/>
        <v>0</v>
      </c>
      <c r="AD78" s="21"/>
      <c r="AE78" s="19">
        <v>0.0</v>
      </c>
      <c r="AF78" s="20">
        <f t="shared" si="9"/>
        <v>0</v>
      </c>
      <c r="AG78" s="21"/>
      <c r="AH78" s="19">
        <v>0.0</v>
      </c>
      <c r="AI78" s="20">
        <f t="shared" si="10"/>
        <v>0</v>
      </c>
      <c r="AJ78" s="21"/>
      <c r="AK78" s="19">
        <v>0.0</v>
      </c>
      <c r="AL78" s="20">
        <f t="shared" si="11"/>
        <v>0</v>
      </c>
      <c r="AM78" s="21"/>
      <c r="AN78" s="22">
        <f t="shared" si="12"/>
        <v>4</v>
      </c>
      <c r="AO78" s="22">
        <f t="shared" si="13"/>
        <v>0</v>
      </c>
    </row>
    <row r="79" ht="15.75" customHeight="1">
      <c r="A79" s="14" t="s">
        <v>134</v>
      </c>
      <c r="B79" s="15" t="s">
        <v>135</v>
      </c>
      <c r="C79" s="25" t="s">
        <v>136</v>
      </c>
      <c r="D79" s="17" t="s">
        <v>26</v>
      </c>
      <c r="E79" s="17" t="s">
        <v>27</v>
      </c>
      <c r="F79" s="26">
        <v>3.0</v>
      </c>
      <c r="G79" s="27">
        <v>0.0</v>
      </c>
      <c r="H79" s="20">
        <f t="shared" si="1"/>
        <v>3</v>
      </c>
      <c r="I79" s="28"/>
      <c r="J79" s="27">
        <v>0.0</v>
      </c>
      <c r="K79" s="20">
        <f t="shared" si="2"/>
        <v>3</v>
      </c>
      <c r="L79" s="28"/>
      <c r="M79" s="27">
        <v>0.0</v>
      </c>
      <c r="N79" s="20">
        <f t="shared" si="3"/>
        <v>3</v>
      </c>
      <c r="O79" s="28"/>
      <c r="P79" s="27">
        <v>0.0</v>
      </c>
      <c r="Q79" s="20">
        <f t="shared" si="4"/>
        <v>3</v>
      </c>
      <c r="R79" s="21"/>
      <c r="S79" s="19">
        <v>0.0</v>
      </c>
      <c r="T79" s="20">
        <f t="shared" si="5"/>
        <v>3</v>
      </c>
      <c r="U79" s="21"/>
      <c r="V79" s="16">
        <v>0.0</v>
      </c>
      <c r="W79" s="20">
        <f t="shared" si="6"/>
        <v>3</v>
      </c>
      <c r="X79" s="21"/>
      <c r="Y79" s="19">
        <v>0.0</v>
      </c>
      <c r="Z79" s="20">
        <f t="shared" si="7"/>
        <v>3</v>
      </c>
      <c r="AA79" s="21"/>
      <c r="AB79" s="19">
        <v>0.0</v>
      </c>
      <c r="AC79" s="20">
        <f t="shared" si="8"/>
        <v>3</v>
      </c>
      <c r="AD79" s="21"/>
      <c r="AE79" s="19">
        <v>1.5</v>
      </c>
      <c r="AF79" s="20">
        <f t="shared" si="9"/>
        <v>1.5</v>
      </c>
      <c r="AG79" s="21"/>
      <c r="AH79" s="19">
        <v>1.5</v>
      </c>
      <c r="AI79" s="20">
        <f t="shared" si="10"/>
        <v>0</v>
      </c>
      <c r="AJ79" s="21"/>
      <c r="AK79" s="19">
        <v>0.0</v>
      </c>
      <c r="AL79" s="20">
        <f t="shared" si="11"/>
        <v>0</v>
      </c>
      <c r="AM79" s="21"/>
      <c r="AN79" s="22">
        <f t="shared" si="12"/>
        <v>3</v>
      </c>
      <c r="AO79" s="22">
        <f t="shared" si="13"/>
        <v>0</v>
      </c>
    </row>
    <row r="80" ht="15.75" customHeight="1">
      <c r="A80" s="23"/>
      <c r="B80" s="23"/>
      <c r="C80" s="25" t="s">
        <v>137</v>
      </c>
      <c r="D80" s="17" t="s">
        <v>26</v>
      </c>
      <c r="E80" s="17" t="s">
        <v>27</v>
      </c>
      <c r="F80" s="26">
        <v>6.0</v>
      </c>
      <c r="G80" s="27">
        <v>0.0</v>
      </c>
      <c r="H80" s="20">
        <f t="shared" si="1"/>
        <v>6</v>
      </c>
      <c r="I80" s="28"/>
      <c r="J80" s="27">
        <v>0.0</v>
      </c>
      <c r="K80" s="20">
        <f t="shared" si="2"/>
        <v>6</v>
      </c>
      <c r="L80" s="28"/>
      <c r="M80" s="27">
        <v>0.0</v>
      </c>
      <c r="N80" s="20">
        <f t="shared" si="3"/>
        <v>6</v>
      </c>
      <c r="O80" s="28"/>
      <c r="P80" s="27">
        <v>0.0</v>
      </c>
      <c r="Q80" s="20">
        <f t="shared" si="4"/>
        <v>6</v>
      </c>
      <c r="R80" s="21"/>
      <c r="S80" s="19">
        <v>0.0</v>
      </c>
      <c r="T80" s="20">
        <f t="shared" si="5"/>
        <v>6</v>
      </c>
      <c r="U80" s="21"/>
      <c r="V80" s="16">
        <v>0.0</v>
      </c>
      <c r="W80" s="20">
        <f t="shared" si="6"/>
        <v>6</v>
      </c>
      <c r="X80" s="21"/>
      <c r="Y80" s="19">
        <v>0.0</v>
      </c>
      <c r="Z80" s="20">
        <f t="shared" si="7"/>
        <v>6</v>
      </c>
      <c r="AA80" s="21"/>
      <c r="AB80" s="19">
        <v>0.0</v>
      </c>
      <c r="AC80" s="20">
        <f t="shared" si="8"/>
        <v>6</v>
      </c>
      <c r="AD80" s="21"/>
      <c r="AE80" s="19">
        <v>3.0</v>
      </c>
      <c r="AF80" s="20">
        <f t="shared" si="9"/>
        <v>3</v>
      </c>
      <c r="AG80" s="21"/>
      <c r="AH80" s="19">
        <v>3.0</v>
      </c>
      <c r="AI80" s="20">
        <f t="shared" si="10"/>
        <v>0</v>
      </c>
      <c r="AJ80" s="21"/>
      <c r="AK80" s="19">
        <v>0.0</v>
      </c>
      <c r="AL80" s="20">
        <f t="shared" si="11"/>
        <v>0</v>
      </c>
      <c r="AM80" s="21"/>
      <c r="AN80" s="22">
        <f t="shared" si="12"/>
        <v>6</v>
      </c>
      <c r="AO80" s="22">
        <f t="shared" si="13"/>
        <v>0</v>
      </c>
    </row>
    <row r="81" ht="15.75" customHeight="1">
      <c r="A81" s="23"/>
      <c r="B81" s="23"/>
      <c r="C81" s="25" t="s">
        <v>138</v>
      </c>
      <c r="D81" s="17" t="s">
        <v>26</v>
      </c>
      <c r="E81" s="17" t="s">
        <v>27</v>
      </c>
      <c r="F81" s="26">
        <v>3.0</v>
      </c>
      <c r="G81" s="27">
        <v>0.0</v>
      </c>
      <c r="H81" s="20">
        <f t="shared" si="1"/>
        <v>3</v>
      </c>
      <c r="I81" s="28"/>
      <c r="J81" s="27">
        <v>0.0</v>
      </c>
      <c r="K81" s="20">
        <f t="shared" si="2"/>
        <v>3</v>
      </c>
      <c r="L81" s="28"/>
      <c r="M81" s="27">
        <v>0.0</v>
      </c>
      <c r="N81" s="20">
        <f t="shared" si="3"/>
        <v>3</v>
      </c>
      <c r="O81" s="28"/>
      <c r="P81" s="27">
        <v>0.0</v>
      </c>
      <c r="Q81" s="20">
        <f t="shared" si="4"/>
        <v>3</v>
      </c>
      <c r="R81" s="21"/>
      <c r="S81" s="19">
        <v>0.0</v>
      </c>
      <c r="T81" s="20">
        <f t="shared" si="5"/>
        <v>3</v>
      </c>
      <c r="U81" s="21"/>
      <c r="V81" s="16">
        <v>0.0</v>
      </c>
      <c r="W81" s="20">
        <f t="shared" si="6"/>
        <v>3</v>
      </c>
      <c r="X81" s="21"/>
      <c r="Y81" s="19">
        <v>0.0</v>
      </c>
      <c r="Z81" s="20">
        <f t="shared" si="7"/>
        <v>3</v>
      </c>
      <c r="AA81" s="21"/>
      <c r="AB81" s="19">
        <v>0.0</v>
      </c>
      <c r="AC81" s="20">
        <f t="shared" si="8"/>
        <v>3</v>
      </c>
      <c r="AD81" s="21"/>
      <c r="AE81" s="19">
        <v>1.5</v>
      </c>
      <c r="AF81" s="20">
        <f t="shared" si="9"/>
        <v>1.5</v>
      </c>
      <c r="AG81" s="21"/>
      <c r="AH81" s="19">
        <v>1.5</v>
      </c>
      <c r="AI81" s="20">
        <f t="shared" si="10"/>
        <v>0</v>
      </c>
      <c r="AJ81" s="21"/>
      <c r="AK81" s="19">
        <v>0.0</v>
      </c>
      <c r="AL81" s="20">
        <f t="shared" si="11"/>
        <v>0</v>
      </c>
      <c r="AM81" s="21"/>
      <c r="AN81" s="22">
        <f t="shared" si="12"/>
        <v>3</v>
      </c>
      <c r="AO81" s="22">
        <f t="shared" si="13"/>
        <v>0</v>
      </c>
    </row>
    <row r="82" ht="15.75" customHeight="1">
      <c r="A82" s="24"/>
      <c r="B82" s="24"/>
      <c r="C82" s="25" t="s">
        <v>139</v>
      </c>
      <c r="D82" s="17" t="s">
        <v>26</v>
      </c>
      <c r="E82" s="17" t="s">
        <v>27</v>
      </c>
      <c r="F82" s="26">
        <v>3.0</v>
      </c>
      <c r="G82" s="27">
        <v>0.0</v>
      </c>
      <c r="H82" s="20">
        <f t="shared" si="1"/>
        <v>3</v>
      </c>
      <c r="I82" s="28"/>
      <c r="J82" s="27">
        <v>0.0</v>
      </c>
      <c r="K82" s="20">
        <f t="shared" si="2"/>
        <v>3</v>
      </c>
      <c r="L82" s="28"/>
      <c r="M82" s="27">
        <v>0.0</v>
      </c>
      <c r="N82" s="20">
        <f t="shared" si="3"/>
        <v>3</v>
      </c>
      <c r="O82" s="28"/>
      <c r="P82" s="27">
        <v>0.0</v>
      </c>
      <c r="Q82" s="20">
        <f t="shared" si="4"/>
        <v>3</v>
      </c>
      <c r="R82" s="21"/>
      <c r="S82" s="19">
        <v>0.0</v>
      </c>
      <c r="T82" s="20">
        <f t="shared" si="5"/>
        <v>3</v>
      </c>
      <c r="U82" s="21"/>
      <c r="V82" s="16">
        <v>0.0</v>
      </c>
      <c r="W82" s="20">
        <f t="shared" si="6"/>
        <v>3</v>
      </c>
      <c r="X82" s="21"/>
      <c r="Y82" s="19">
        <v>0.0</v>
      </c>
      <c r="Z82" s="20">
        <f t="shared" si="7"/>
        <v>3</v>
      </c>
      <c r="AA82" s="21"/>
      <c r="AB82" s="19">
        <v>0.0</v>
      </c>
      <c r="AC82" s="20">
        <f t="shared" si="8"/>
        <v>3</v>
      </c>
      <c r="AD82" s="21"/>
      <c r="AE82" s="19">
        <v>1.5</v>
      </c>
      <c r="AF82" s="20">
        <f t="shared" si="9"/>
        <v>1.5</v>
      </c>
      <c r="AG82" s="21"/>
      <c r="AH82" s="19">
        <v>1.5</v>
      </c>
      <c r="AI82" s="20">
        <f t="shared" si="10"/>
        <v>0</v>
      </c>
      <c r="AJ82" s="21"/>
      <c r="AK82" s="19">
        <v>0.0</v>
      </c>
      <c r="AL82" s="20">
        <f t="shared" si="11"/>
        <v>0</v>
      </c>
      <c r="AM82" s="21"/>
      <c r="AN82" s="22">
        <f t="shared" si="12"/>
        <v>3</v>
      </c>
      <c r="AO82" s="22">
        <f t="shared" si="13"/>
        <v>0</v>
      </c>
    </row>
    <row r="83" ht="15.75" customHeight="1">
      <c r="A83" s="14" t="s">
        <v>140</v>
      </c>
      <c r="B83" s="15" t="s">
        <v>141</v>
      </c>
      <c r="C83" s="25" t="s">
        <v>142</v>
      </c>
      <c r="D83" s="17" t="s">
        <v>26</v>
      </c>
      <c r="E83" s="17" t="s">
        <v>27</v>
      </c>
      <c r="F83" s="26">
        <v>5.0</v>
      </c>
      <c r="G83" s="27">
        <v>0.0</v>
      </c>
      <c r="H83" s="20">
        <f t="shared" si="1"/>
        <v>5</v>
      </c>
      <c r="I83" s="28"/>
      <c r="J83" s="27">
        <v>0.0</v>
      </c>
      <c r="K83" s="20">
        <f t="shared" si="2"/>
        <v>5</v>
      </c>
      <c r="L83" s="28"/>
      <c r="M83" s="27">
        <v>0.0</v>
      </c>
      <c r="N83" s="20">
        <f t="shared" si="3"/>
        <v>5</v>
      </c>
      <c r="O83" s="28"/>
      <c r="P83" s="27">
        <v>0.0</v>
      </c>
      <c r="Q83" s="20">
        <f t="shared" si="4"/>
        <v>5</v>
      </c>
      <c r="R83" s="21"/>
      <c r="S83" s="19">
        <v>2.5</v>
      </c>
      <c r="T83" s="20">
        <f t="shared" si="5"/>
        <v>2.5</v>
      </c>
      <c r="U83" s="21"/>
      <c r="V83" s="16">
        <v>2.5</v>
      </c>
      <c r="W83" s="20">
        <f t="shared" si="6"/>
        <v>0</v>
      </c>
      <c r="X83" s="21"/>
      <c r="Y83" s="19">
        <v>0.0</v>
      </c>
      <c r="Z83" s="20">
        <f t="shared" si="7"/>
        <v>0</v>
      </c>
      <c r="AA83" s="21"/>
      <c r="AB83" s="19">
        <v>0.0</v>
      </c>
      <c r="AC83" s="20">
        <f t="shared" si="8"/>
        <v>0</v>
      </c>
      <c r="AD83" s="21"/>
      <c r="AE83" s="19">
        <v>0.0</v>
      </c>
      <c r="AF83" s="20">
        <f t="shared" si="9"/>
        <v>0</v>
      </c>
      <c r="AG83" s="21"/>
      <c r="AH83" s="19">
        <v>0.0</v>
      </c>
      <c r="AI83" s="20">
        <f t="shared" si="10"/>
        <v>0</v>
      </c>
      <c r="AJ83" s="21"/>
      <c r="AK83" s="19">
        <v>0.0</v>
      </c>
      <c r="AL83" s="20">
        <f t="shared" si="11"/>
        <v>0</v>
      </c>
      <c r="AM83" s="21"/>
      <c r="AN83" s="22">
        <f t="shared" si="12"/>
        <v>5</v>
      </c>
      <c r="AO83" s="22">
        <f t="shared" si="13"/>
        <v>0</v>
      </c>
    </row>
    <row r="84" ht="15.75" customHeight="1">
      <c r="A84" s="23"/>
      <c r="B84" s="23"/>
      <c r="C84" s="25" t="s">
        <v>143</v>
      </c>
      <c r="D84" s="17" t="s">
        <v>26</v>
      </c>
      <c r="E84" s="17" t="s">
        <v>27</v>
      </c>
      <c r="F84" s="26">
        <v>6.0</v>
      </c>
      <c r="G84" s="27">
        <v>0.0</v>
      </c>
      <c r="H84" s="20">
        <f t="shared" si="1"/>
        <v>6</v>
      </c>
      <c r="I84" s="28"/>
      <c r="J84" s="27">
        <v>0.0</v>
      </c>
      <c r="K84" s="20">
        <f t="shared" si="2"/>
        <v>6</v>
      </c>
      <c r="L84" s="28"/>
      <c r="M84" s="27">
        <v>0.0</v>
      </c>
      <c r="N84" s="20">
        <f t="shared" si="3"/>
        <v>6</v>
      </c>
      <c r="O84" s="28"/>
      <c r="P84" s="27">
        <v>0.0</v>
      </c>
      <c r="Q84" s="20">
        <f t="shared" si="4"/>
        <v>6</v>
      </c>
      <c r="R84" s="21"/>
      <c r="S84" s="19">
        <v>3.0</v>
      </c>
      <c r="T84" s="20">
        <f t="shared" si="5"/>
        <v>3</v>
      </c>
      <c r="U84" s="21"/>
      <c r="V84" s="16">
        <v>3.0</v>
      </c>
      <c r="W84" s="20">
        <f t="shared" si="6"/>
        <v>0</v>
      </c>
      <c r="X84" s="21"/>
      <c r="Y84" s="19">
        <v>0.0</v>
      </c>
      <c r="Z84" s="20">
        <f t="shared" si="7"/>
        <v>0</v>
      </c>
      <c r="AA84" s="21"/>
      <c r="AB84" s="19">
        <v>0.0</v>
      </c>
      <c r="AC84" s="20">
        <f t="shared" si="8"/>
        <v>0</v>
      </c>
      <c r="AD84" s="21"/>
      <c r="AE84" s="19">
        <v>0.0</v>
      </c>
      <c r="AF84" s="20">
        <f t="shared" si="9"/>
        <v>0</v>
      </c>
      <c r="AG84" s="21"/>
      <c r="AH84" s="19">
        <v>0.0</v>
      </c>
      <c r="AI84" s="20">
        <f t="shared" si="10"/>
        <v>0</v>
      </c>
      <c r="AJ84" s="21"/>
      <c r="AK84" s="19">
        <v>0.0</v>
      </c>
      <c r="AL84" s="20">
        <f t="shared" si="11"/>
        <v>0</v>
      </c>
      <c r="AM84" s="21"/>
      <c r="AN84" s="22">
        <f t="shared" si="12"/>
        <v>6</v>
      </c>
      <c r="AO84" s="22">
        <f t="shared" si="13"/>
        <v>0</v>
      </c>
    </row>
    <row r="85" ht="15.75" customHeight="1">
      <c r="A85" s="23"/>
      <c r="B85" s="23"/>
      <c r="C85" s="25" t="s">
        <v>144</v>
      </c>
      <c r="D85" s="17" t="s">
        <v>26</v>
      </c>
      <c r="E85" s="17" t="s">
        <v>27</v>
      </c>
      <c r="F85" s="26">
        <v>4.0</v>
      </c>
      <c r="G85" s="27">
        <v>0.0</v>
      </c>
      <c r="H85" s="20">
        <f t="shared" si="1"/>
        <v>4</v>
      </c>
      <c r="I85" s="28"/>
      <c r="J85" s="27">
        <v>0.0</v>
      </c>
      <c r="K85" s="20">
        <f t="shared" si="2"/>
        <v>4</v>
      </c>
      <c r="L85" s="28"/>
      <c r="M85" s="27">
        <v>0.0</v>
      </c>
      <c r="N85" s="20">
        <f t="shared" si="3"/>
        <v>4</v>
      </c>
      <c r="O85" s="28"/>
      <c r="P85" s="27">
        <v>0.0</v>
      </c>
      <c r="Q85" s="20">
        <f t="shared" si="4"/>
        <v>4</v>
      </c>
      <c r="R85" s="21"/>
      <c r="S85" s="19">
        <v>2.0</v>
      </c>
      <c r="T85" s="20">
        <f t="shared" si="5"/>
        <v>2</v>
      </c>
      <c r="U85" s="21"/>
      <c r="V85" s="16">
        <v>2.0</v>
      </c>
      <c r="W85" s="20">
        <f t="shared" si="6"/>
        <v>0</v>
      </c>
      <c r="X85" s="21"/>
      <c r="Y85" s="19">
        <v>0.0</v>
      </c>
      <c r="Z85" s="20">
        <f t="shared" si="7"/>
        <v>0</v>
      </c>
      <c r="AA85" s="21"/>
      <c r="AB85" s="19">
        <v>0.0</v>
      </c>
      <c r="AC85" s="20">
        <f t="shared" si="8"/>
        <v>0</v>
      </c>
      <c r="AD85" s="21"/>
      <c r="AE85" s="19">
        <v>0.0</v>
      </c>
      <c r="AF85" s="20">
        <f t="shared" si="9"/>
        <v>0</v>
      </c>
      <c r="AG85" s="21"/>
      <c r="AH85" s="19">
        <v>0.0</v>
      </c>
      <c r="AI85" s="20">
        <f t="shared" si="10"/>
        <v>0</v>
      </c>
      <c r="AJ85" s="21"/>
      <c r="AK85" s="19">
        <v>0.0</v>
      </c>
      <c r="AL85" s="20">
        <f t="shared" si="11"/>
        <v>0</v>
      </c>
      <c r="AM85" s="21"/>
      <c r="AN85" s="22">
        <f t="shared" si="12"/>
        <v>4</v>
      </c>
      <c r="AO85" s="22">
        <f t="shared" si="13"/>
        <v>0</v>
      </c>
    </row>
    <row r="86" ht="15.75" customHeight="1">
      <c r="A86" s="24"/>
      <c r="B86" s="24"/>
      <c r="C86" s="25" t="s">
        <v>145</v>
      </c>
      <c r="D86" s="17" t="s">
        <v>26</v>
      </c>
      <c r="E86" s="17" t="s">
        <v>27</v>
      </c>
      <c r="F86" s="26">
        <v>5.0</v>
      </c>
      <c r="G86" s="27">
        <v>0.0</v>
      </c>
      <c r="H86" s="20">
        <f t="shared" si="1"/>
        <v>5</v>
      </c>
      <c r="I86" s="28"/>
      <c r="J86" s="27">
        <v>0.0</v>
      </c>
      <c r="K86" s="20">
        <f t="shared" si="2"/>
        <v>5</v>
      </c>
      <c r="L86" s="28"/>
      <c r="M86" s="27">
        <v>0.0</v>
      </c>
      <c r="N86" s="20">
        <f t="shared" si="3"/>
        <v>5</v>
      </c>
      <c r="O86" s="28"/>
      <c r="P86" s="27">
        <v>0.0</v>
      </c>
      <c r="Q86" s="20">
        <f t="shared" si="4"/>
        <v>5</v>
      </c>
      <c r="R86" s="21"/>
      <c r="S86" s="19">
        <v>2.5</v>
      </c>
      <c r="T86" s="20">
        <f t="shared" si="5"/>
        <v>2.5</v>
      </c>
      <c r="U86" s="21"/>
      <c r="V86" s="16">
        <v>2.5</v>
      </c>
      <c r="W86" s="20">
        <f t="shared" si="6"/>
        <v>0</v>
      </c>
      <c r="X86" s="21"/>
      <c r="Y86" s="19">
        <v>0.0</v>
      </c>
      <c r="Z86" s="20">
        <f t="shared" si="7"/>
        <v>0</v>
      </c>
      <c r="AA86" s="21"/>
      <c r="AB86" s="19">
        <v>0.0</v>
      </c>
      <c r="AC86" s="20">
        <f t="shared" si="8"/>
        <v>0</v>
      </c>
      <c r="AD86" s="21"/>
      <c r="AE86" s="19">
        <v>0.0</v>
      </c>
      <c r="AF86" s="20">
        <f t="shared" si="9"/>
        <v>0</v>
      </c>
      <c r="AG86" s="21"/>
      <c r="AH86" s="19">
        <v>0.0</v>
      </c>
      <c r="AI86" s="20">
        <f t="shared" si="10"/>
        <v>0</v>
      </c>
      <c r="AJ86" s="21"/>
      <c r="AK86" s="19">
        <v>0.0</v>
      </c>
      <c r="AL86" s="20">
        <f t="shared" si="11"/>
        <v>0</v>
      </c>
      <c r="AM86" s="21"/>
      <c r="AN86" s="22">
        <f t="shared" si="12"/>
        <v>5</v>
      </c>
      <c r="AO86" s="22">
        <f t="shared" si="13"/>
        <v>0</v>
      </c>
    </row>
    <row r="87" ht="15.75" customHeight="1">
      <c r="A87" s="14" t="s">
        <v>146</v>
      </c>
      <c r="B87" s="15" t="s">
        <v>147</v>
      </c>
      <c r="C87" s="25" t="s">
        <v>148</v>
      </c>
      <c r="D87" s="17" t="s">
        <v>26</v>
      </c>
      <c r="E87" s="17" t="s">
        <v>27</v>
      </c>
      <c r="F87" s="26">
        <v>4.0</v>
      </c>
      <c r="G87" s="27">
        <v>0.0</v>
      </c>
      <c r="H87" s="20">
        <f t="shared" si="1"/>
        <v>4</v>
      </c>
      <c r="I87" s="28"/>
      <c r="J87" s="27">
        <v>0.0</v>
      </c>
      <c r="K87" s="20">
        <f t="shared" si="2"/>
        <v>4</v>
      </c>
      <c r="L87" s="28"/>
      <c r="M87" s="27">
        <v>0.0</v>
      </c>
      <c r="N87" s="20">
        <f t="shared" si="3"/>
        <v>4</v>
      </c>
      <c r="O87" s="28"/>
      <c r="P87" s="27">
        <v>0.0</v>
      </c>
      <c r="Q87" s="20">
        <f t="shared" si="4"/>
        <v>4</v>
      </c>
      <c r="R87" s="21"/>
      <c r="S87" s="19">
        <v>0.0</v>
      </c>
      <c r="T87" s="20">
        <f t="shared" si="5"/>
        <v>4</v>
      </c>
      <c r="U87" s="21"/>
      <c r="V87" s="16">
        <v>0.0</v>
      </c>
      <c r="W87" s="20">
        <f t="shared" si="6"/>
        <v>4</v>
      </c>
      <c r="X87" s="21"/>
      <c r="Y87" s="19">
        <v>2.0</v>
      </c>
      <c r="Z87" s="20">
        <f t="shared" si="7"/>
        <v>2</v>
      </c>
      <c r="AA87" s="21"/>
      <c r="AB87" s="19">
        <v>2.0</v>
      </c>
      <c r="AC87" s="20">
        <f t="shared" si="8"/>
        <v>0</v>
      </c>
      <c r="AD87" s="21"/>
      <c r="AE87" s="19">
        <v>0.0</v>
      </c>
      <c r="AF87" s="20">
        <f t="shared" si="9"/>
        <v>0</v>
      </c>
      <c r="AG87" s="21"/>
      <c r="AH87" s="19">
        <v>0.0</v>
      </c>
      <c r="AI87" s="20">
        <f t="shared" si="10"/>
        <v>0</v>
      </c>
      <c r="AJ87" s="21"/>
      <c r="AK87" s="19">
        <v>0.0</v>
      </c>
      <c r="AL87" s="20">
        <f t="shared" si="11"/>
        <v>0</v>
      </c>
      <c r="AM87" s="21"/>
      <c r="AN87" s="22">
        <f t="shared" si="12"/>
        <v>4</v>
      </c>
      <c r="AO87" s="22">
        <f t="shared" si="13"/>
        <v>0</v>
      </c>
    </row>
    <row r="88" ht="15.75" customHeight="1">
      <c r="A88" s="23"/>
      <c r="B88" s="23"/>
      <c r="C88" s="25" t="s">
        <v>149</v>
      </c>
      <c r="D88" s="17" t="s">
        <v>26</v>
      </c>
      <c r="E88" s="17" t="s">
        <v>27</v>
      </c>
      <c r="F88" s="26">
        <v>4.0</v>
      </c>
      <c r="G88" s="27">
        <v>0.0</v>
      </c>
      <c r="H88" s="20">
        <f t="shared" si="1"/>
        <v>4</v>
      </c>
      <c r="I88" s="28"/>
      <c r="J88" s="27">
        <v>0.0</v>
      </c>
      <c r="K88" s="20">
        <f t="shared" si="2"/>
        <v>4</v>
      </c>
      <c r="L88" s="28"/>
      <c r="M88" s="27">
        <v>0.0</v>
      </c>
      <c r="N88" s="20">
        <f t="shared" si="3"/>
        <v>4</v>
      </c>
      <c r="O88" s="28"/>
      <c r="P88" s="27">
        <v>0.0</v>
      </c>
      <c r="Q88" s="20">
        <f t="shared" si="4"/>
        <v>4</v>
      </c>
      <c r="R88" s="21"/>
      <c r="S88" s="19">
        <v>0.0</v>
      </c>
      <c r="T88" s="20">
        <f t="shared" si="5"/>
        <v>4</v>
      </c>
      <c r="U88" s="21"/>
      <c r="V88" s="16">
        <v>0.0</v>
      </c>
      <c r="W88" s="20">
        <f t="shared" si="6"/>
        <v>4</v>
      </c>
      <c r="X88" s="21"/>
      <c r="Y88" s="19">
        <v>2.0</v>
      </c>
      <c r="Z88" s="20">
        <f t="shared" si="7"/>
        <v>2</v>
      </c>
      <c r="AA88" s="21"/>
      <c r="AB88" s="19">
        <v>2.0</v>
      </c>
      <c r="AC88" s="20">
        <f t="shared" si="8"/>
        <v>0</v>
      </c>
      <c r="AD88" s="21"/>
      <c r="AE88" s="19">
        <v>0.0</v>
      </c>
      <c r="AF88" s="20">
        <f t="shared" si="9"/>
        <v>0</v>
      </c>
      <c r="AG88" s="21"/>
      <c r="AH88" s="19">
        <v>0.0</v>
      </c>
      <c r="AI88" s="20">
        <f t="shared" si="10"/>
        <v>0</v>
      </c>
      <c r="AJ88" s="21"/>
      <c r="AK88" s="19">
        <v>0.0</v>
      </c>
      <c r="AL88" s="20">
        <f t="shared" si="11"/>
        <v>0</v>
      </c>
      <c r="AM88" s="21"/>
      <c r="AN88" s="22">
        <f t="shared" si="12"/>
        <v>4</v>
      </c>
      <c r="AO88" s="22">
        <f t="shared" si="13"/>
        <v>0</v>
      </c>
    </row>
    <row r="89" ht="15.75" customHeight="1">
      <c r="A89" s="23"/>
      <c r="B89" s="23"/>
      <c r="C89" s="25" t="s">
        <v>150</v>
      </c>
      <c r="D89" s="17" t="s">
        <v>26</v>
      </c>
      <c r="E89" s="17" t="s">
        <v>27</v>
      </c>
      <c r="F89" s="26">
        <v>4.0</v>
      </c>
      <c r="G89" s="27">
        <v>0.0</v>
      </c>
      <c r="H89" s="20">
        <f t="shared" si="1"/>
        <v>4</v>
      </c>
      <c r="I89" s="28"/>
      <c r="J89" s="27">
        <v>0.0</v>
      </c>
      <c r="K89" s="20">
        <f t="shared" si="2"/>
        <v>4</v>
      </c>
      <c r="L89" s="28"/>
      <c r="M89" s="27">
        <v>0.0</v>
      </c>
      <c r="N89" s="20">
        <f t="shared" si="3"/>
        <v>4</v>
      </c>
      <c r="O89" s="28"/>
      <c r="P89" s="27">
        <v>0.0</v>
      </c>
      <c r="Q89" s="20">
        <f t="shared" si="4"/>
        <v>4</v>
      </c>
      <c r="R89" s="21"/>
      <c r="S89" s="19">
        <v>0.0</v>
      </c>
      <c r="T89" s="20">
        <f t="shared" si="5"/>
        <v>4</v>
      </c>
      <c r="U89" s="21"/>
      <c r="V89" s="16">
        <v>0.0</v>
      </c>
      <c r="W89" s="20">
        <f t="shared" si="6"/>
        <v>4</v>
      </c>
      <c r="X89" s="21"/>
      <c r="Y89" s="19">
        <v>2.0</v>
      </c>
      <c r="Z89" s="20">
        <f t="shared" si="7"/>
        <v>2</v>
      </c>
      <c r="AA89" s="21"/>
      <c r="AB89" s="19">
        <v>2.0</v>
      </c>
      <c r="AC89" s="20">
        <f t="shared" si="8"/>
        <v>0</v>
      </c>
      <c r="AD89" s="21"/>
      <c r="AE89" s="19">
        <v>0.0</v>
      </c>
      <c r="AF89" s="20">
        <f t="shared" si="9"/>
        <v>0</v>
      </c>
      <c r="AG89" s="21"/>
      <c r="AH89" s="19">
        <v>0.0</v>
      </c>
      <c r="AI89" s="20">
        <f t="shared" si="10"/>
        <v>0</v>
      </c>
      <c r="AJ89" s="21"/>
      <c r="AK89" s="19">
        <v>0.0</v>
      </c>
      <c r="AL89" s="20">
        <f t="shared" si="11"/>
        <v>0</v>
      </c>
      <c r="AM89" s="21"/>
      <c r="AN89" s="22">
        <f t="shared" si="12"/>
        <v>4</v>
      </c>
      <c r="AO89" s="22">
        <f t="shared" si="13"/>
        <v>0</v>
      </c>
    </row>
    <row r="90" ht="15.75" customHeight="1">
      <c r="A90" s="24"/>
      <c r="B90" s="24"/>
      <c r="C90" s="25" t="s">
        <v>151</v>
      </c>
      <c r="D90" s="17" t="s">
        <v>26</v>
      </c>
      <c r="E90" s="17" t="s">
        <v>27</v>
      </c>
      <c r="F90" s="26">
        <v>3.0</v>
      </c>
      <c r="G90" s="27">
        <v>0.0</v>
      </c>
      <c r="H90" s="20">
        <f t="shared" si="1"/>
        <v>3</v>
      </c>
      <c r="I90" s="28"/>
      <c r="J90" s="27">
        <v>0.0</v>
      </c>
      <c r="K90" s="20">
        <f t="shared" si="2"/>
        <v>3</v>
      </c>
      <c r="L90" s="28"/>
      <c r="M90" s="27">
        <v>0.0</v>
      </c>
      <c r="N90" s="20">
        <f t="shared" si="3"/>
        <v>3</v>
      </c>
      <c r="O90" s="28"/>
      <c r="P90" s="27">
        <v>0.0</v>
      </c>
      <c r="Q90" s="20">
        <f t="shared" si="4"/>
        <v>3</v>
      </c>
      <c r="R90" s="21"/>
      <c r="S90" s="19">
        <v>0.0</v>
      </c>
      <c r="T90" s="20">
        <f t="shared" si="5"/>
        <v>3</v>
      </c>
      <c r="U90" s="21"/>
      <c r="V90" s="16">
        <v>0.0</v>
      </c>
      <c r="W90" s="20">
        <f t="shared" si="6"/>
        <v>3</v>
      </c>
      <c r="X90" s="21"/>
      <c r="Y90" s="19">
        <v>1.5</v>
      </c>
      <c r="Z90" s="20">
        <f t="shared" si="7"/>
        <v>1.5</v>
      </c>
      <c r="AA90" s="21"/>
      <c r="AB90" s="19">
        <v>1.5</v>
      </c>
      <c r="AC90" s="20">
        <f t="shared" si="8"/>
        <v>0</v>
      </c>
      <c r="AD90" s="21"/>
      <c r="AE90" s="19">
        <v>0.0</v>
      </c>
      <c r="AF90" s="20">
        <f t="shared" si="9"/>
        <v>0</v>
      </c>
      <c r="AG90" s="21"/>
      <c r="AH90" s="19">
        <v>0.0</v>
      </c>
      <c r="AI90" s="20">
        <f t="shared" si="10"/>
        <v>0</v>
      </c>
      <c r="AJ90" s="21"/>
      <c r="AK90" s="19">
        <v>0.0</v>
      </c>
      <c r="AL90" s="20">
        <f t="shared" si="11"/>
        <v>0</v>
      </c>
      <c r="AM90" s="21"/>
      <c r="AN90" s="22">
        <f t="shared" si="12"/>
        <v>3</v>
      </c>
      <c r="AO90" s="22">
        <f t="shared" si="13"/>
        <v>0</v>
      </c>
    </row>
    <row r="91" ht="15.75" customHeight="1">
      <c r="A91" s="14" t="s">
        <v>152</v>
      </c>
      <c r="B91" s="15" t="s">
        <v>153</v>
      </c>
      <c r="C91" s="25" t="s">
        <v>154</v>
      </c>
      <c r="D91" s="17" t="s">
        <v>26</v>
      </c>
      <c r="E91" s="17" t="s">
        <v>27</v>
      </c>
      <c r="F91" s="26">
        <v>4.0</v>
      </c>
      <c r="G91" s="27">
        <v>0.0</v>
      </c>
      <c r="H91" s="20">
        <f t="shared" si="1"/>
        <v>4</v>
      </c>
      <c r="I91" s="28"/>
      <c r="J91" s="27">
        <v>0.0</v>
      </c>
      <c r="K91" s="20">
        <f t="shared" si="2"/>
        <v>4</v>
      </c>
      <c r="L91" s="28"/>
      <c r="M91" s="27">
        <v>0.0</v>
      </c>
      <c r="N91" s="20">
        <f t="shared" si="3"/>
        <v>4</v>
      </c>
      <c r="O91" s="28"/>
      <c r="P91" s="27">
        <v>0.0</v>
      </c>
      <c r="Q91" s="20">
        <f t="shared" si="4"/>
        <v>4</v>
      </c>
      <c r="R91" s="21"/>
      <c r="S91" s="19">
        <v>0.0</v>
      </c>
      <c r="T91" s="20">
        <f t="shared" si="5"/>
        <v>4</v>
      </c>
      <c r="U91" s="21"/>
      <c r="V91" s="16">
        <v>0.0</v>
      </c>
      <c r="W91" s="20">
        <f t="shared" si="6"/>
        <v>4</v>
      </c>
      <c r="X91" s="21"/>
      <c r="Y91" s="19">
        <v>0.0</v>
      </c>
      <c r="Z91" s="20">
        <f t="shared" si="7"/>
        <v>4</v>
      </c>
      <c r="AA91" s="21"/>
      <c r="AB91" s="19">
        <v>0.0</v>
      </c>
      <c r="AC91" s="20">
        <f t="shared" si="8"/>
        <v>4</v>
      </c>
      <c r="AD91" s="21"/>
      <c r="AE91" s="19">
        <v>2.0</v>
      </c>
      <c r="AF91" s="20">
        <f t="shared" si="9"/>
        <v>2</v>
      </c>
      <c r="AG91" s="21"/>
      <c r="AH91" s="19">
        <v>2.0</v>
      </c>
      <c r="AI91" s="20">
        <f t="shared" si="10"/>
        <v>0</v>
      </c>
      <c r="AJ91" s="21"/>
      <c r="AK91" s="19">
        <v>0.0</v>
      </c>
      <c r="AL91" s="20">
        <f t="shared" si="11"/>
        <v>0</v>
      </c>
      <c r="AM91" s="21"/>
      <c r="AN91" s="22">
        <f t="shared" si="12"/>
        <v>4</v>
      </c>
      <c r="AO91" s="22">
        <f t="shared" si="13"/>
        <v>0</v>
      </c>
    </row>
    <row r="92" ht="15.75" customHeight="1">
      <c r="A92" s="23"/>
      <c r="B92" s="23"/>
      <c r="C92" s="25" t="s">
        <v>155</v>
      </c>
      <c r="D92" s="17" t="s">
        <v>26</v>
      </c>
      <c r="E92" s="17" t="s">
        <v>27</v>
      </c>
      <c r="F92" s="26">
        <v>5.0</v>
      </c>
      <c r="G92" s="27">
        <v>0.0</v>
      </c>
      <c r="H92" s="20">
        <f t="shared" si="1"/>
        <v>5</v>
      </c>
      <c r="I92" s="28"/>
      <c r="J92" s="27">
        <v>0.0</v>
      </c>
      <c r="K92" s="20">
        <f t="shared" si="2"/>
        <v>5</v>
      </c>
      <c r="L92" s="28"/>
      <c r="M92" s="27">
        <v>0.0</v>
      </c>
      <c r="N92" s="20">
        <f t="shared" si="3"/>
        <v>5</v>
      </c>
      <c r="O92" s="28"/>
      <c r="P92" s="27">
        <v>0.0</v>
      </c>
      <c r="Q92" s="20">
        <f t="shared" si="4"/>
        <v>5</v>
      </c>
      <c r="R92" s="21"/>
      <c r="S92" s="19">
        <v>0.0</v>
      </c>
      <c r="T92" s="20">
        <f t="shared" si="5"/>
        <v>5</v>
      </c>
      <c r="U92" s="21"/>
      <c r="V92" s="16">
        <v>0.0</v>
      </c>
      <c r="W92" s="20">
        <f t="shared" si="6"/>
        <v>5</v>
      </c>
      <c r="X92" s="21"/>
      <c r="Y92" s="19">
        <v>0.0</v>
      </c>
      <c r="Z92" s="20">
        <f t="shared" si="7"/>
        <v>5</v>
      </c>
      <c r="AA92" s="21"/>
      <c r="AB92" s="19">
        <v>0.0</v>
      </c>
      <c r="AC92" s="20">
        <f t="shared" si="8"/>
        <v>5</v>
      </c>
      <c r="AD92" s="21"/>
      <c r="AE92" s="19">
        <v>2.5</v>
      </c>
      <c r="AF92" s="20">
        <f t="shared" si="9"/>
        <v>2.5</v>
      </c>
      <c r="AG92" s="21"/>
      <c r="AH92" s="19">
        <v>2.5</v>
      </c>
      <c r="AI92" s="20">
        <f t="shared" si="10"/>
        <v>0</v>
      </c>
      <c r="AJ92" s="21"/>
      <c r="AK92" s="19">
        <v>0.0</v>
      </c>
      <c r="AL92" s="20">
        <f t="shared" si="11"/>
        <v>0</v>
      </c>
      <c r="AM92" s="21"/>
      <c r="AN92" s="22">
        <f t="shared" si="12"/>
        <v>5</v>
      </c>
      <c r="AO92" s="22">
        <f t="shared" si="13"/>
        <v>0</v>
      </c>
    </row>
    <row r="93" ht="15.75" customHeight="1">
      <c r="A93" s="23"/>
      <c r="B93" s="23"/>
      <c r="C93" s="25" t="s">
        <v>156</v>
      </c>
      <c r="D93" s="17" t="s">
        <v>26</v>
      </c>
      <c r="E93" s="17" t="s">
        <v>27</v>
      </c>
      <c r="F93" s="26">
        <v>5.0</v>
      </c>
      <c r="G93" s="27">
        <v>0.0</v>
      </c>
      <c r="H93" s="20">
        <f t="shared" si="1"/>
        <v>5</v>
      </c>
      <c r="I93" s="28"/>
      <c r="J93" s="27">
        <v>0.0</v>
      </c>
      <c r="K93" s="20">
        <f t="shared" si="2"/>
        <v>5</v>
      </c>
      <c r="L93" s="28"/>
      <c r="M93" s="27">
        <v>0.0</v>
      </c>
      <c r="N93" s="20">
        <f t="shared" si="3"/>
        <v>5</v>
      </c>
      <c r="O93" s="28"/>
      <c r="P93" s="27">
        <v>0.0</v>
      </c>
      <c r="Q93" s="20">
        <f t="shared" si="4"/>
        <v>5</v>
      </c>
      <c r="R93" s="21"/>
      <c r="S93" s="19">
        <v>0.0</v>
      </c>
      <c r="T93" s="20">
        <f t="shared" si="5"/>
        <v>5</v>
      </c>
      <c r="U93" s="21"/>
      <c r="V93" s="16">
        <v>0.0</v>
      </c>
      <c r="W93" s="20">
        <f t="shared" si="6"/>
        <v>5</v>
      </c>
      <c r="X93" s="21"/>
      <c r="Y93" s="19">
        <v>0.0</v>
      </c>
      <c r="Z93" s="20">
        <f t="shared" si="7"/>
        <v>5</v>
      </c>
      <c r="AA93" s="21"/>
      <c r="AB93" s="19">
        <v>0.0</v>
      </c>
      <c r="AC93" s="20">
        <f t="shared" si="8"/>
        <v>5</v>
      </c>
      <c r="AD93" s="21"/>
      <c r="AE93" s="19">
        <v>2.5</v>
      </c>
      <c r="AF93" s="20">
        <f t="shared" si="9"/>
        <v>2.5</v>
      </c>
      <c r="AG93" s="21"/>
      <c r="AH93" s="19">
        <v>2.5</v>
      </c>
      <c r="AI93" s="20">
        <f t="shared" si="10"/>
        <v>0</v>
      </c>
      <c r="AJ93" s="21"/>
      <c r="AK93" s="19">
        <v>0.0</v>
      </c>
      <c r="AL93" s="20">
        <f t="shared" si="11"/>
        <v>0</v>
      </c>
      <c r="AM93" s="21"/>
      <c r="AN93" s="22">
        <f t="shared" si="12"/>
        <v>5</v>
      </c>
      <c r="AO93" s="22">
        <f t="shared" si="13"/>
        <v>0</v>
      </c>
    </row>
    <row r="94" ht="15.75" customHeight="1">
      <c r="A94" s="24"/>
      <c r="B94" s="24"/>
      <c r="C94" s="25" t="s">
        <v>157</v>
      </c>
      <c r="D94" s="17" t="s">
        <v>26</v>
      </c>
      <c r="E94" s="17" t="s">
        <v>27</v>
      </c>
      <c r="F94" s="26">
        <v>4.0</v>
      </c>
      <c r="G94" s="27">
        <v>0.0</v>
      </c>
      <c r="H94" s="20">
        <f t="shared" si="1"/>
        <v>4</v>
      </c>
      <c r="I94" s="28"/>
      <c r="J94" s="27">
        <v>0.0</v>
      </c>
      <c r="K94" s="20">
        <f t="shared" si="2"/>
        <v>4</v>
      </c>
      <c r="L94" s="28"/>
      <c r="M94" s="27">
        <v>0.0</v>
      </c>
      <c r="N94" s="20">
        <f t="shared" si="3"/>
        <v>4</v>
      </c>
      <c r="O94" s="28"/>
      <c r="P94" s="27">
        <v>0.0</v>
      </c>
      <c r="Q94" s="20">
        <f t="shared" si="4"/>
        <v>4</v>
      </c>
      <c r="R94" s="21"/>
      <c r="S94" s="19">
        <v>0.0</v>
      </c>
      <c r="T94" s="20">
        <f t="shared" si="5"/>
        <v>4</v>
      </c>
      <c r="U94" s="21"/>
      <c r="V94" s="16">
        <v>0.0</v>
      </c>
      <c r="W94" s="20">
        <f t="shared" si="6"/>
        <v>4</v>
      </c>
      <c r="X94" s="21"/>
      <c r="Y94" s="19">
        <v>0.0</v>
      </c>
      <c r="Z94" s="20">
        <f t="shared" si="7"/>
        <v>4</v>
      </c>
      <c r="AA94" s="21"/>
      <c r="AB94" s="19">
        <v>0.0</v>
      </c>
      <c r="AC94" s="20">
        <f t="shared" si="8"/>
        <v>4</v>
      </c>
      <c r="AD94" s="21"/>
      <c r="AE94" s="19">
        <v>2.0</v>
      </c>
      <c r="AF94" s="20">
        <f t="shared" si="9"/>
        <v>2</v>
      </c>
      <c r="AG94" s="21"/>
      <c r="AH94" s="19">
        <v>2.0</v>
      </c>
      <c r="AI94" s="20">
        <f t="shared" si="10"/>
        <v>0</v>
      </c>
      <c r="AJ94" s="21"/>
      <c r="AK94" s="19">
        <v>0.0</v>
      </c>
      <c r="AL94" s="20">
        <f t="shared" si="11"/>
        <v>0</v>
      </c>
      <c r="AM94" s="21"/>
      <c r="AN94" s="22">
        <f t="shared" si="12"/>
        <v>4</v>
      </c>
      <c r="AO94" s="22">
        <f t="shared" si="13"/>
        <v>0</v>
      </c>
    </row>
    <row r="95" ht="15.75" customHeight="1">
      <c r="A95" s="14" t="s">
        <v>158</v>
      </c>
      <c r="B95" s="15" t="s">
        <v>159</v>
      </c>
      <c r="C95" s="25" t="s">
        <v>160</v>
      </c>
      <c r="D95" s="17" t="s">
        <v>26</v>
      </c>
      <c r="E95" s="17" t="s">
        <v>27</v>
      </c>
      <c r="F95" s="26">
        <v>4.0</v>
      </c>
      <c r="G95" s="27">
        <v>0.0</v>
      </c>
      <c r="H95" s="20">
        <f t="shared" si="1"/>
        <v>4</v>
      </c>
      <c r="I95" s="28"/>
      <c r="J95" s="27">
        <v>0.0</v>
      </c>
      <c r="K95" s="20">
        <f t="shared" si="2"/>
        <v>4</v>
      </c>
      <c r="L95" s="28"/>
      <c r="M95" s="27">
        <v>0.0</v>
      </c>
      <c r="N95" s="20">
        <f t="shared" si="3"/>
        <v>4</v>
      </c>
      <c r="O95" s="28"/>
      <c r="P95" s="27">
        <v>0.0</v>
      </c>
      <c r="Q95" s="20">
        <f t="shared" si="4"/>
        <v>4</v>
      </c>
      <c r="R95" s="21"/>
      <c r="S95" s="19">
        <v>0.0</v>
      </c>
      <c r="T95" s="20">
        <f t="shared" si="5"/>
        <v>4</v>
      </c>
      <c r="U95" s="21"/>
      <c r="V95" s="16">
        <v>0.0</v>
      </c>
      <c r="W95" s="20">
        <f t="shared" si="6"/>
        <v>4</v>
      </c>
      <c r="X95" s="21"/>
      <c r="Y95" s="19">
        <v>0.0</v>
      </c>
      <c r="Z95" s="20">
        <f t="shared" si="7"/>
        <v>4</v>
      </c>
      <c r="AA95" s="21"/>
      <c r="AB95" s="19">
        <v>0.0</v>
      </c>
      <c r="AC95" s="20">
        <f t="shared" si="8"/>
        <v>4</v>
      </c>
      <c r="AD95" s="21"/>
      <c r="AE95" s="19">
        <v>2.0</v>
      </c>
      <c r="AF95" s="20">
        <f t="shared" si="9"/>
        <v>2</v>
      </c>
      <c r="AG95" s="21"/>
      <c r="AH95" s="19">
        <v>2.0</v>
      </c>
      <c r="AI95" s="20">
        <f t="shared" si="10"/>
        <v>0</v>
      </c>
      <c r="AJ95" s="21"/>
      <c r="AK95" s="19">
        <v>0.0</v>
      </c>
      <c r="AL95" s="20">
        <f t="shared" si="11"/>
        <v>0</v>
      </c>
      <c r="AM95" s="21"/>
      <c r="AN95" s="22">
        <f t="shared" si="12"/>
        <v>4</v>
      </c>
      <c r="AO95" s="22">
        <f t="shared" si="13"/>
        <v>0</v>
      </c>
    </row>
    <row r="96" ht="15.75" customHeight="1">
      <c r="A96" s="23"/>
      <c r="B96" s="23"/>
      <c r="C96" s="25" t="s">
        <v>161</v>
      </c>
      <c r="D96" s="17" t="s">
        <v>26</v>
      </c>
      <c r="E96" s="17" t="s">
        <v>27</v>
      </c>
      <c r="F96" s="26">
        <v>4.0</v>
      </c>
      <c r="G96" s="27">
        <v>0.0</v>
      </c>
      <c r="H96" s="20">
        <f t="shared" si="1"/>
        <v>4</v>
      </c>
      <c r="I96" s="28"/>
      <c r="J96" s="27">
        <v>0.0</v>
      </c>
      <c r="K96" s="20">
        <f t="shared" si="2"/>
        <v>4</v>
      </c>
      <c r="L96" s="28"/>
      <c r="M96" s="27">
        <v>0.0</v>
      </c>
      <c r="N96" s="20">
        <f t="shared" si="3"/>
        <v>4</v>
      </c>
      <c r="O96" s="28"/>
      <c r="P96" s="27">
        <v>0.0</v>
      </c>
      <c r="Q96" s="20">
        <f t="shared" si="4"/>
        <v>4</v>
      </c>
      <c r="R96" s="21"/>
      <c r="S96" s="19">
        <v>0.0</v>
      </c>
      <c r="T96" s="20">
        <f t="shared" si="5"/>
        <v>4</v>
      </c>
      <c r="U96" s="21"/>
      <c r="V96" s="16">
        <v>0.0</v>
      </c>
      <c r="W96" s="20">
        <f t="shared" si="6"/>
        <v>4</v>
      </c>
      <c r="X96" s="21"/>
      <c r="Y96" s="19">
        <v>0.0</v>
      </c>
      <c r="Z96" s="20">
        <f t="shared" si="7"/>
        <v>4</v>
      </c>
      <c r="AA96" s="21"/>
      <c r="AB96" s="19">
        <v>0.0</v>
      </c>
      <c r="AC96" s="20">
        <f t="shared" si="8"/>
        <v>4</v>
      </c>
      <c r="AD96" s="21"/>
      <c r="AE96" s="19">
        <v>2.0</v>
      </c>
      <c r="AF96" s="20">
        <f t="shared" si="9"/>
        <v>2</v>
      </c>
      <c r="AG96" s="21"/>
      <c r="AH96" s="19">
        <v>2.0</v>
      </c>
      <c r="AI96" s="20">
        <f t="shared" si="10"/>
        <v>0</v>
      </c>
      <c r="AJ96" s="21"/>
      <c r="AK96" s="19">
        <v>0.0</v>
      </c>
      <c r="AL96" s="20">
        <f t="shared" si="11"/>
        <v>0</v>
      </c>
      <c r="AM96" s="21"/>
      <c r="AN96" s="22">
        <f t="shared" si="12"/>
        <v>4</v>
      </c>
      <c r="AO96" s="22">
        <f t="shared" si="13"/>
        <v>0</v>
      </c>
    </row>
    <row r="97" ht="15.75" customHeight="1">
      <c r="A97" s="23"/>
      <c r="B97" s="23"/>
      <c r="C97" s="25" t="s">
        <v>162</v>
      </c>
      <c r="D97" s="17" t="s">
        <v>26</v>
      </c>
      <c r="E97" s="17" t="s">
        <v>27</v>
      </c>
      <c r="F97" s="26">
        <v>4.0</v>
      </c>
      <c r="G97" s="27">
        <v>0.0</v>
      </c>
      <c r="H97" s="20">
        <f t="shared" si="1"/>
        <v>4</v>
      </c>
      <c r="I97" s="28"/>
      <c r="J97" s="27">
        <v>0.0</v>
      </c>
      <c r="K97" s="20">
        <f t="shared" si="2"/>
        <v>4</v>
      </c>
      <c r="L97" s="28"/>
      <c r="M97" s="27">
        <v>0.0</v>
      </c>
      <c r="N97" s="20">
        <f t="shared" si="3"/>
        <v>4</v>
      </c>
      <c r="O97" s="28"/>
      <c r="P97" s="27">
        <v>0.0</v>
      </c>
      <c r="Q97" s="20">
        <f t="shared" si="4"/>
        <v>4</v>
      </c>
      <c r="R97" s="21"/>
      <c r="S97" s="19">
        <v>0.0</v>
      </c>
      <c r="T97" s="20">
        <f t="shared" si="5"/>
        <v>4</v>
      </c>
      <c r="U97" s="21"/>
      <c r="V97" s="16">
        <v>0.0</v>
      </c>
      <c r="W97" s="20">
        <f t="shared" si="6"/>
        <v>4</v>
      </c>
      <c r="X97" s="21"/>
      <c r="Y97" s="19">
        <v>0.0</v>
      </c>
      <c r="Z97" s="20">
        <f t="shared" si="7"/>
        <v>4</v>
      </c>
      <c r="AA97" s="21"/>
      <c r="AB97" s="19">
        <v>0.0</v>
      </c>
      <c r="AC97" s="20">
        <f t="shared" si="8"/>
        <v>4</v>
      </c>
      <c r="AD97" s="21"/>
      <c r="AE97" s="19">
        <v>2.0</v>
      </c>
      <c r="AF97" s="20">
        <f t="shared" si="9"/>
        <v>2</v>
      </c>
      <c r="AG97" s="21"/>
      <c r="AH97" s="19">
        <v>2.0</v>
      </c>
      <c r="AI97" s="20">
        <f t="shared" si="10"/>
        <v>0</v>
      </c>
      <c r="AJ97" s="21"/>
      <c r="AK97" s="19">
        <v>0.0</v>
      </c>
      <c r="AL97" s="20">
        <f t="shared" si="11"/>
        <v>0</v>
      </c>
      <c r="AM97" s="21"/>
      <c r="AN97" s="22">
        <f t="shared" si="12"/>
        <v>4</v>
      </c>
      <c r="AO97" s="22">
        <f t="shared" si="13"/>
        <v>0</v>
      </c>
    </row>
    <row r="98" ht="15.75" customHeight="1">
      <c r="A98" s="24"/>
      <c r="B98" s="24"/>
      <c r="C98" s="25" t="s">
        <v>163</v>
      </c>
      <c r="D98" s="17" t="s">
        <v>26</v>
      </c>
      <c r="E98" s="17" t="s">
        <v>27</v>
      </c>
      <c r="F98" s="26">
        <v>3.0</v>
      </c>
      <c r="G98" s="27">
        <v>0.0</v>
      </c>
      <c r="H98" s="20">
        <f t="shared" si="1"/>
        <v>3</v>
      </c>
      <c r="I98" s="28"/>
      <c r="J98" s="27">
        <v>0.0</v>
      </c>
      <c r="K98" s="20">
        <f t="shared" si="2"/>
        <v>3</v>
      </c>
      <c r="L98" s="28"/>
      <c r="M98" s="27">
        <v>0.0</v>
      </c>
      <c r="N98" s="20">
        <f t="shared" si="3"/>
        <v>3</v>
      </c>
      <c r="O98" s="28"/>
      <c r="P98" s="27">
        <v>0.0</v>
      </c>
      <c r="Q98" s="20">
        <f t="shared" si="4"/>
        <v>3</v>
      </c>
      <c r="R98" s="21"/>
      <c r="S98" s="19">
        <v>0.0</v>
      </c>
      <c r="T98" s="20">
        <f t="shared" si="5"/>
        <v>3</v>
      </c>
      <c r="U98" s="21"/>
      <c r="V98" s="16">
        <v>0.0</v>
      </c>
      <c r="W98" s="20">
        <f t="shared" si="6"/>
        <v>3</v>
      </c>
      <c r="X98" s="21"/>
      <c r="Y98" s="19">
        <v>0.0</v>
      </c>
      <c r="Z98" s="20">
        <f t="shared" si="7"/>
        <v>3</v>
      </c>
      <c r="AA98" s="21"/>
      <c r="AB98" s="19">
        <v>0.0</v>
      </c>
      <c r="AC98" s="20">
        <f t="shared" si="8"/>
        <v>3</v>
      </c>
      <c r="AD98" s="21"/>
      <c r="AE98" s="19">
        <v>1.5</v>
      </c>
      <c r="AF98" s="20">
        <f t="shared" si="9"/>
        <v>1.5</v>
      </c>
      <c r="AG98" s="21"/>
      <c r="AH98" s="19">
        <v>1.5</v>
      </c>
      <c r="AI98" s="20">
        <f t="shared" si="10"/>
        <v>0</v>
      </c>
      <c r="AJ98" s="21"/>
      <c r="AK98" s="19">
        <v>0.0</v>
      </c>
      <c r="AL98" s="20">
        <f t="shared" si="11"/>
        <v>0</v>
      </c>
      <c r="AM98" s="21"/>
      <c r="AN98" s="22">
        <f t="shared" si="12"/>
        <v>3</v>
      </c>
      <c r="AO98" s="22">
        <f t="shared" si="13"/>
        <v>0</v>
      </c>
    </row>
    <row r="99" ht="15.75" customHeight="1">
      <c r="A99" s="14" t="s">
        <v>164</v>
      </c>
      <c r="B99" s="15" t="s">
        <v>165</v>
      </c>
      <c r="C99" s="25" t="s">
        <v>166</v>
      </c>
      <c r="D99" s="17" t="s">
        <v>26</v>
      </c>
      <c r="E99" s="17" t="s">
        <v>27</v>
      </c>
      <c r="F99" s="26">
        <v>5.0</v>
      </c>
      <c r="G99" s="27">
        <v>0.0</v>
      </c>
      <c r="H99" s="20">
        <f t="shared" si="1"/>
        <v>5</v>
      </c>
      <c r="I99" s="28"/>
      <c r="J99" s="27">
        <v>0.0</v>
      </c>
      <c r="K99" s="20">
        <f t="shared" si="2"/>
        <v>5</v>
      </c>
      <c r="L99" s="28"/>
      <c r="M99" s="27">
        <v>0.0</v>
      </c>
      <c r="N99" s="20">
        <f t="shared" si="3"/>
        <v>5</v>
      </c>
      <c r="O99" s="28"/>
      <c r="P99" s="27">
        <v>0.0</v>
      </c>
      <c r="Q99" s="20">
        <f t="shared" si="4"/>
        <v>5</v>
      </c>
      <c r="R99" s="21"/>
      <c r="S99" s="19">
        <v>0.0</v>
      </c>
      <c r="T99" s="20">
        <f t="shared" si="5"/>
        <v>5</v>
      </c>
      <c r="U99" s="21"/>
      <c r="V99" s="16">
        <v>0.0</v>
      </c>
      <c r="W99" s="20">
        <f t="shared" si="6"/>
        <v>5</v>
      </c>
      <c r="X99" s="21"/>
      <c r="Y99" s="19">
        <v>2.5</v>
      </c>
      <c r="Z99" s="20">
        <f t="shared" si="7"/>
        <v>2.5</v>
      </c>
      <c r="AA99" s="21"/>
      <c r="AB99" s="19">
        <v>2.5</v>
      </c>
      <c r="AC99" s="20">
        <f t="shared" si="8"/>
        <v>0</v>
      </c>
      <c r="AD99" s="21"/>
      <c r="AE99" s="19">
        <v>0.0</v>
      </c>
      <c r="AF99" s="20">
        <f t="shared" si="9"/>
        <v>0</v>
      </c>
      <c r="AG99" s="21"/>
      <c r="AH99" s="19">
        <v>0.0</v>
      </c>
      <c r="AI99" s="20">
        <f t="shared" si="10"/>
        <v>0</v>
      </c>
      <c r="AJ99" s="21"/>
      <c r="AK99" s="19">
        <v>0.0</v>
      </c>
      <c r="AL99" s="20">
        <f t="shared" si="11"/>
        <v>0</v>
      </c>
      <c r="AM99" s="21"/>
      <c r="AN99" s="22">
        <f t="shared" si="12"/>
        <v>5</v>
      </c>
      <c r="AO99" s="22">
        <f t="shared" si="13"/>
        <v>0</v>
      </c>
    </row>
    <row r="100" ht="15.75" customHeight="1">
      <c r="A100" s="23"/>
      <c r="B100" s="23"/>
      <c r="C100" s="25" t="s">
        <v>167</v>
      </c>
      <c r="D100" s="17" t="s">
        <v>26</v>
      </c>
      <c r="E100" s="17" t="s">
        <v>27</v>
      </c>
      <c r="F100" s="26">
        <v>4.0</v>
      </c>
      <c r="G100" s="27">
        <v>0.0</v>
      </c>
      <c r="H100" s="20">
        <f t="shared" si="1"/>
        <v>4</v>
      </c>
      <c r="I100" s="28"/>
      <c r="J100" s="27">
        <v>0.0</v>
      </c>
      <c r="K100" s="20">
        <f t="shared" si="2"/>
        <v>4</v>
      </c>
      <c r="L100" s="28"/>
      <c r="M100" s="27">
        <v>0.0</v>
      </c>
      <c r="N100" s="20">
        <f t="shared" si="3"/>
        <v>4</v>
      </c>
      <c r="O100" s="28"/>
      <c r="P100" s="27">
        <v>0.0</v>
      </c>
      <c r="Q100" s="20">
        <f t="shared" si="4"/>
        <v>4</v>
      </c>
      <c r="R100" s="21"/>
      <c r="S100" s="19">
        <v>0.0</v>
      </c>
      <c r="T100" s="20">
        <f t="shared" si="5"/>
        <v>4</v>
      </c>
      <c r="U100" s="21"/>
      <c r="V100" s="16">
        <v>0.0</v>
      </c>
      <c r="W100" s="20">
        <f t="shared" si="6"/>
        <v>4</v>
      </c>
      <c r="X100" s="21"/>
      <c r="Y100" s="19">
        <v>2.0</v>
      </c>
      <c r="Z100" s="20">
        <f t="shared" si="7"/>
        <v>2</v>
      </c>
      <c r="AA100" s="21"/>
      <c r="AB100" s="19">
        <v>2.0</v>
      </c>
      <c r="AC100" s="20">
        <f t="shared" si="8"/>
        <v>0</v>
      </c>
      <c r="AD100" s="21"/>
      <c r="AE100" s="19">
        <v>0.0</v>
      </c>
      <c r="AF100" s="20">
        <f t="shared" si="9"/>
        <v>0</v>
      </c>
      <c r="AG100" s="21"/>
      <c r="AH100" s="19">
        <v>0.0</v>
      </c>
      <c r="AI100" s="20">
        <f t="shared" si="10"/>
        <v>0</v>
      </c>
      <c r="AJ100" s="21"/>
      <c r="AK100" s="19">
        <v>0.0</v>
      </c>
      <c r="AL100" s="20">
        <f t="shared" si="11"/>
        <v>0</v>
      </c>
      <c r="AM100" s="21"/>
      <c r="AN100" s="22">
        <f t="shared" si="12"/>
        <v>4</v>
      </c>
      <c r="AO100" s="22">
        <f t="shared" si="13"/>
        <v>0</v>
      </c>
    </row>
    <row r="101" ht="15.75" customHeight="1">
      <c r="A101" s="24"/>
      <c r="B101" s="24"/>
      <c r="C101" s="25" t="s">
        <v>168</v>
      </c>
      <c r="D101" s="17" t="s">
        <v>26</v>
      </c>
      <c r="E101" s="17" t="s">
        <v>27</v>
      </c>
      <c r="F101" s="26">
        <v>3.0</v>
      </c>
      <c r="G101" s="27">
        <v>0.0</v>
      </c>
      <c r="H101" s="20">
        <f t="shared" si="1"/>
        <v>3</v>
      </c>
      <c r="I101" s="28"/>
      <c r="J101" s="27">
        <v>0.0</v>
      </c>
      <c r="K101" s="20">
        <f t="shared" si="2"/>
        <v>3</v>
      </c>
      <c r="L101" s="28"/>
      <c r="M101" s="27">
        <v>0.0</v>
      </c>
      <c r="N101" s="20">
        <f t="shared" si="3"/>
        <v>3</v>
      </c>
      <c r="O101" s="28"/>
      <c r="P101" s="27">
        <v>0.0</v>
      </c>
      <c r="Q101" s="20">
        <f t="shared" si="4"/>
        <v>3</v>
      </c>
      <c r="R101" s="21"/>
      <c r="S101" s="19">
        <v>0.0</v>
      </c>
      <c r="T101" s="20">
        <f t="shared" si="5"/>
        <v>3</v>
      </c>
      <c r="U101" s="21"/>
      <c r="V101" s="16">
        <v>0.0</v>
      </c>
      <c r="W101" s="20">
        <f t="shared" si="6"/>
        <v>3</v>
      </c>
      <c r="X101" s="21"/>
      <c r="Y101" s="19">
        <v>1.5</v>
      </c>
      <c r="Z101" s="20">
        <f t="shared" si="7"/>
        <v>1.5</v>
      </c>
      <c r="AA101" s="21"/>
      <c r="AB101" s="19">
        <v>1.5</v>
      </c>
      <c r="AC101" s="20">
        <f t="shared" si="8"/>
        <v>0</v>
      </c>
      <c r="AD101" s="21"/>
      <c r="AE101" s="19">
        <v>0.0</v>
      </c>
      <c r="AF101" s="20">
        <f t="shared" si="9"/>
        <v>0</v>
      </c>
      <c r="AG101" s="21"/>
      <c r="AH101" s="19">
        <v>0.0</v>
      </c>
      <c r="AI101" s="20">
        <f t="shared" si="10"/>
        <v>0</v>
      </c>
      <c r="AJ101" s="21"/>
      <c r="AK101" s="19">
        <v>0.0</v>
      </c>
      <c r="AL101" s="20">
        <f t="shared" si="11"/>
        <v>0</v>
      </c>
      <c r="AM101" s="21"/>
      <c r="AN101" s="22">
        <f t="shared" si="12"/>
        <v>3</v>
      </c>
      <c r="AO101" s="22">
        <f t="shared" si="13"/>
        <v>0</v>
      </c>
    </row>
    <row r="102" ht="15.75" customHeight="1">
      <c r="A102" s="14" t="s">
        <v>169</v>
      </c>
      <c r="B102" s="29" t="s">
        <v>170</v>
      </c>
      <c r="C102" s="30" t="s">
        <v>171</v>
      </c>
      <c r="D102" s="17" t="s">
        <v>26</v>
      </c>
      <c r="E102" s="17" t="s">
        <v>27</v>
      </c>
      <c r="F102" s="26">
        <v>3.0</v>
      </c>
      <c r="G102" s="27">
        <v>0.0</v>
      </c>
      <c r="H102" s="20">
        <f t="shared" si="1"/>
        <v>3</v>
      </c>
      <c r="I102" s="28"/>
      <c r="J102" s="27">
        <v>0.0</v>
      </c>
      <c r="K102" s="20">
        <f t="shared" si="2"/>
        <v>3</v>
      </c>
      <c r="L102" s="28"/>
      <c r="M102" s="27">
        <v>0.0</v>
      </c>
      <c r="N102" s="20">
        <f t="shared" si="3"/>
        <v>3</v>
      </c>
      <c r="O102" s="28"/>
      <c r="P102" s="27">
        <v>0.0</v>
      </c>
      <c r="Q102" s="20">
        <f t="shared" si="4"/>
        <v>3</v>
      </c>
      <c r="R102" s="21"/>
      <c r="S102" s="19">
        <v>0.0</v>
      </c>
      <c r="T102" s="20">
        <f t="shared" si="5"/>
        <v>3</v>
      </c>
      <c r="U102" s="21"/>
      <c r="V102" s="16">
        <v>0.0</v>
      </c>
      <c r="W102" s="20">
        <f t="shared" si="6"/>
        <v>3</v>
      </c>
      <c r="X102" s="21"/>
      <c r="Y102" s="19">
        <v>1.5</v>
      </c>
      <c r="Z102" s="20">
        <f t="shared" si="7"/>
        <v>1.5</v>
      </c>
      <c r="AA102" s="21"/>
      <c r="AB102" s="19">
        <v>1.5</v>
      </c>
      <c r="AC102" s="20">
        <f t="shared" si="8"/>
        <v>0</v>
      </c>
      <c r="AD102" s="21"/>
      <c r="AE102" s="19">
        <v>0.0</v>
      </c>
      <c r="AF102" s="20">
        <f t="shared" si="9"/>
        <v>0</v>
      </c>
      <c r="AG102" s="21"/>
      <c r="AH102" s="19">
        <v>0.0</v>
      </c>
      <c r="AI102" s="20">
        <f t="shared" si="10"/>
        <v>0</v>
      </c>
      <c r="AJ102" s="21"/>
      <c r="AK102" s="19">
        <v>0.0</v>
      </c>
      <c r="AL102" s="20">
        <f t="shared" si="11"/>
        <v>0</v>
      </c>
      <c r="AM102" s="21"/>
      <c r="AN102" s="22">
        <f t="shared" si="12"/>
        <v>3</v>
      </c>
      <c r="AO102" s="22">
        <f t="shared" si="13"/>
        <v>0</v>
      </c>
    </row>
    <row r="103" ht="15.75" customHeight="1">
      <c r="A103" s="23"/>
      <c r="B103" s="23"/>
      <c r="C103" s="30" t="s">
        <v>172</v>
      </c>
      <c r="D103" s="17" t="s">
        <v>26</v>
      </c>
      <c r="E103" s="17" t="s">
        <v>27</v>
      </c>
      <c r="F103" s="26">
        <v>3.0</v>
      </c>
      <c r="G103" s="27">
        <v>0.0</v>
      </c>
      <c r="H103" s="20">
        <f t="shared" si="1"/>
        <v>3</v>
      </c>
      <c r="I103" s="28"/>
      <c r="J103" s="27">
        <v>0.0</v>
      </c>
      <c r="K103" s="20">
        <f t="shared" si="2"/>
        <v>3</v>
      </c>
      <c r="L103" s="28"/>
      <c r="M103" s="27">
        <v>0.0</v>
      </c>
      <c r="N103" s="20">
        <f t="shared" si="3"/>
        <v>3</v>
      </c>
      <c r="O103" s="28"/>
      <c r="P103" s="27">
        <v>0.0</v>
      </c>
      <c r="Q103" s="20">
        <f t="shared" si="4"/>
        <v>3</v>
      </c>
      <c r="R103" s="21"/>
      <c r="S103" s="19">
        <v>0.0</v>
      </c>
      <c r="T103" s="20">
        <f t="shared" si="5"/>
        <v>3</v>
      </c>
      <c r="U103" s="21"/>
      <c r="V103" s="16">
        <v>0.0</v>
      </c>
      <c r="W103" s="20">
        <f t="shared" si="6"/>
        <v>3</v>
      </c>
      <c r="X103" s="21"/>
      <c r="Y103" s="19">
        <v>1.5</v>
      </c>
      <c r="Z103" s="20">
        <f t="shared" si="7"/>
        <v>1.5</v>
      </c>
      <c r="AA103" s="21"/>
      <c r="AB103" s="19">
        <v>1.5</v>
      </c>
      <c r="AC103" s="20">
        <f t="shared" si="8"/>
        <v>0</v>
      </c>
      <c r="AD103" s="21"/>
      <c r="AE103" s="19">
        <v>0.0</v>
      </c>
      <c r="AF103" s="20">
        <f t="shared" si="9"/>
        <v>0</v>
      </c>
      <c r="AG103" s="21"/>
      <c r="AH103" s="19">
        <v>0.0</v>
      </c>
      <c r="AI103" s="20">
        <f t="shared" si="10"/>
        <v>0</v>
      </c>
      <c r="AJ103" s="21"/>
      <c r="AK103" s="19">
        <v>0.0</v>
      </c>
      <c r="AL103" s="20">
        <f t="shared" si="11"/>
        <v>0</v>
      </c>
      <c r="AM103" s="21"/>
      <c r="AN103" s="22">
        <f t="shared" si="12"/>
        <v>3</v>
      </c>
      <c r="AO103" s="22">
        <f t="shared" si="13"/>
        <v>0</v>
      </c>
    </row>
    <row r="104" ht="15.75" customHeight="1">
      <c r="A104" s="23"/>
      <c r="B104" s="23"/>
      <c r="C104" s="30" t="s">
        <v>173</v>
      </c>
      <c r="D104" s="17" t="s">
        <v>26</v>
      </c>
      <c r="E104" s="17" t="s">
        <v>27</v>
      </c>
      <c r="F104" s="26">
        <v>3.0</v>
      </c>
      <c r="G104" s="27">
        <v>0.0</v>
      </c>
      <c r="H104" s="20">
        <f t="shared" si="1"/>
        <v>3</v>
      </c>
      <c r="I104" s="28"/>
      <c r="J104" s="27">
        <v>0.0</v>
      </c>
      <c r="K104" s="20">
        <f t="shared" si="2"/>
        <v>3</v>
      </c>
      <c r="L104" s="28"/>
      <c r="M104" s="27">
        <v>0.0</v>
      </c>
      <c r="N104" s="20">
        <f t="shared" si="3"/>
        <v>3</v>
      </c>
      <c r="O104" s="28"/>
      <c r="P104" s="27">
        <v>0.0</v>
      </c>
      <c r="Q104" s="20">
        <f t="shared" si="4"/>
        <v>3</v>
      </c>
      <c r="R104" s="21"/>
      <c r="S104" s="19">
        <v>0.0</v>
      </c>
      <c r="T104" s="20">
        <f t="shared" si="5"/>
        <v>3</v>
      </c>
      <c r="U104" s="21"/>
      <c r="V104" s="16">
        <v>0.0</v>
      </c>
      <c r="W104" s="20">
        <f t="shared" si="6"/>
        <v>3</v>
      </c>
      <c r="X104" s="21"/>
      <c r="Y104" s="19">
        <v>1.5</v>
      </c>
      <c r="Z104" s="20">
        <f t="shared" si="7"/>
        <v>1.5</v>
      </c>
      <c r="AA104" s="21"/>
      <c r="AB104" s="19">
        <v>1.5</v>
      </c>
      <c r="AC104" s="20">
        <f t="shared" si="8"/>
        <v>0</v>
      </c>
      <c r="AD104" s="21"/>
      <c r="AE104" s="19">
        <v>0.0</v>
      </c>
      <c r="AF104" s="20">
        <f t="shared" si="9"/>
        <v>0</v>
      </c>
      <c r="AG104" s="21"/>
      <c r="AH104" s="19">
        <v>0.0</v>
      </c>
      <c r="AI104" s="20">
        <f t="shared" si="10"/>
        <v>0</v>
      </c>
      <c r="AJ104" s="21"/>
      <c r="AK104" s="19">
        <v>0.0</v>
      </c>
      <c r="AL104" s="20">
        <f t="shared" si="11"/>
        <v>0</v>
      </c>
      <c r="AM104" s="21"/>
      <c r="AN104" s="22">
        <f t="shared" si="12"/>
        <v>3</v>
      </c>
      <c r="AO104" s="22">
        <f t="shared" si="13"/>
        <v>0</v>
      </c>
    </row>
    <row r="105" ht="15.75" customHeight="1">
      <c r="A105" s="24"/>
      <c r="B105" s="24"/>
      <c r="C105" s="30" t="s">
        <v>174</v>
      </c>
      <c r="D105" s="17" t="s">
        <v>26</v>
      </c>
      <c r="E105" s="17" t="s">
        <v>27</v>
      </c>
      <c r="F105" s="26">
        <v>3.0</v>
      </c>
      <c r="G105" s="27">
        <v>0.0</v>
      </c>
      <c r="H105" s="20">
        <f t="shared" si="1"/>
        <v>3</v>
      </c>
      <c r="I105" s="28"/>
      <c r="J105" s="27">
        <v>0.0</v>
      </c>
      <c r="K105" s="20">
        <f t="shared" si="2"/>
        <v>3</v>
      </c>
      <c r="L105" s="28"/>
      <c r="M105" s="27">
        <v>0.0</v>
      </c>
      <c r="N105" s="20">
        <f t="shared" si="3"/>
        <v>3</v>
      </c>
      <c r="O105" s="28"/>
      <c r="P105" s="27">
        <v>0.0</v>
      </c>
      <c r="Q105" s="20">
        <f t="shared" si="4"/>
        <v>3</v>
      </c>
      <c r="R105" s="21"/>
      <c r="S105" s="19">
        <v>0.0</v>
      </c>
      <c r="T105" s="20">
        <f t="shared" si="5"/>
        <v>3</v>
      </c>
      <c r="U105" s="21"/>
      <c r="V105" s="16">
        <v>0.0</v>
      </c>
      <c r="W105" s="20">
        <f t="shared" si="6"/>
        <v>3</v>
      </c>
      <c r="X105" s="21"/>
      <c r="Y105" s="19">
        <v>1.5</v>
      </c>
      <c r="Z105" s="20">
        <f t="shared" si="7"/>
        <v>1.5</v>
      </c>
      <c r="AA105" s="21"/>
      <c r="AB105" s="19">
        <v>1.5</v>
      </c>
      <c r="AC105" s="20">
        <f t="shared" si="8"/>
        <v>0</v>
      </c>
      <c r="AD105" s="21"/>
      <c r="AE105" s="19">
        <v>0.0</v>
      </c>
      <c r="AF105" s="20">
        <f t="shared" si="9"/>
        <v>0</v>
      </c>
      <c r="AG105" s="21"/>
      <c r="AH105" s="19">
        <v>0.0</v>
      </c>
      <c r="AI105" s="20">
        <f t="shared" si="10"/>
        <v>0</v>
      </c>
      <c r="AJ105" s="21"/>
      <c r="AK105" s="19">
        <v>0.0</v>
      </c>
      <c r="AL105" s="20">
        <f t="shared" si="11"/>
        <v>0</v>
      </c>
      <c r="AM105" s="21"/>
      <c r="AN105" s="22">
        <f t="shared" si="12"/>
        <v>3</v>
      </c>
      <c r="AO105" s="22">
        <f t="shared" si="13"/>
        <v>0</v>
      </c>
    </row>
    <row r="106" ht="15.75" customHeight="1">
      <c r="A106" s="14" t="s">
        <v>175</v>
      </c>
      <c r="B106" s="29" t="s">
        <v>176</v>
      </c>
      <c r="C106" s="30" t="s">
        <v>177</v>
      </c>
      <c r="D106" s="17" t="s">
        <v>26</v>
      </c>
      <c r="E106" s="17" t="s">
        <v>27</v>
      </c>
      <c r="F106" s="26">
        <v>3.0</v>
      </c>
      <c r="G106" s="27">
        <v>0.0</v>
      </c>
      <c r="H106" s="20">
        <f t="shared" si="1"/>
        <v>3</v>
      </c>
      <c r="I106" s="28"/>
      <c r="J106" s="27">
        <v>0.0</v>
      </c>
      <c r="K106" s="20">
        <f t="shared" si="2"/>
        <v>3</v>
      </c>
      <c r="L106" s="28"/>
      <c r="M106" s="27">
        <v>0.0</v>
      </c>
      <c r="N106" s="20">
        <f t="shared" si="3"/>
        <v>3</v>
      </c>
      <c r="O106" s="28"/>
      <c r="P106" s="27">
        <v>0.0</v>
      </c>
      <c r="Q106" s="20">
        <f t="shared" si="4"/>
        <v>3</v>
      </c>
      <c r="R106" s="21"/>
      <c r="S106" s="19">
        <v>0.0</v>
      </c>
      <c r="T106" s="20">
        <f t="shared" si="5"/>
        <v>3</v>
      </c>
      <c r="U106" s="21"/>
      <c r="V106" s="16">
        <v>0.0</v>
      </c>
      <c r="W106" s="20">
        <f t="shared" si="6"/>
        <v>3</v>
      </c>
      <c r="X106" s="21"/>
      <c r="Y106" s="19">
        <v>1.5</v>
      </c>
      <c r="Z106" s="20">
        <f t="shared" si="7"/>
        <v>1.5</v>
      </c>
      <c r="AA106" s="21"/>
      <c r="AB106" s="19">
        <v>1.5</v>
      </c>
      <c r="AC106" s="20">
        <f t="shared" si="8"/>
        <v>0</v>
      </c>
      <c r="AD106" s="21"/>
      <c r="AE106" s="19">
        <v>0.0</v>
      </c>
      <c r="AF106" s="20">
        <f t="shared" si="9"/>
        <v>0</v>
      </c>
      <c r="AG106" s="21"/>
      <c r="AH106" s="19">
        <v>0.0</v>
      </c>
      <c r="AI106" s="20">
        <f t="shared" si="10"/>
        <v>0</v>
      </c>
      <c r="AJ106" s="21"/>
      <c r="AK106" s="19">
        <v>0.0</v>
      </c>
      <c r="AL106" s="20">
        <f t="shared" si="11"/>
        <v>0</v>
      </c>
      <c r="AM106" s="21"/>
      <c r="AN106" s="22">
        <f t="shared" si="12"/>
        <v>3</v>
      </c>
      <c r="AO106" s="22">
        <f t="shared" si="13"/>
        <v>0</v>
      </c>
    </row>
    <row r="107" ht="15.75" customHeight="1">
      <c r="A107" s="23"/>
      <c r="B107" s="23"/>
      <c r="C107" s="30" t="s">
        <v>178</v>
      </c>
      <c r="D107" s="17" t="s">
        <v>26</v>
      </c>
      <c r="E107" s="17" t="s">
        <v>27</v>
      </c>
      <c r="F107" s="26">
        <v>3.0</v>
      </c>
      <c r="G107" s="27">
        <v>0.0</v>
      </c>
      <c r="H107" s="20">
        <f t="shared" si="1"/>
        <v>3</v>
      </c>
      <c r="I107" s="28"/>
      <c r="J107" s="27">
        <v>0.0</v>
      </c>
      <c r="K107" s="20">
        <f t="shared" si="2"/>
        <v>3</v>
      </c>
      <c r="L107" s="28"/>
      <c r="M107" s="27">
        <v>0.0</v>
      </c>
      <c r="N107" s="20">
        <f t="shared" si="3"/>
        <v>3</v>
      </c>
      <c r="O107" s="28"/>
      <c r="P107" s="27">
        <v>0.0</v>
      </c>
      <c r="Q107" s="20">
        <f t="shared" si="4"/>
        <v>3</v>
      </c>
      <c r="R107" s="21"/>
      <c r="S107" s="19">
        <v>0.0</v>
      </c>
      <c r="T107" s="20">
        <f t="shared" si="5"/>
        <v>3</v>
      </c>
      <c r="U107" s="21"/>
      <c r="V107" s="16">
        <v>0.0</v>
      </c>
      <c r="W107" s="20">
        <f t="shared" si="6"/>
        <v>3</v>
      </c>
      <c r="X107" s="21"/>
      <c r="Y107" s="19">
        <v>1.5</v>
      </c>
      <c r="Z107" s="20">
        <f t="shared" si="7"/>
        <v>1.5</v>
      </c>
      <c r="AA107" s="21"/>
      <c r="AB107" s="19">
        <v>1.5</v>
      </c>
      <c r="AC107" s="20">
        <f t="shared" si="8"/>
        <v>0</v>
      </c>
      <c r="AD107" s="21"/>
      <c r="AE107" s="19">
        <v>0.0</v>
      </c>
      <c r="AF107" s="20">
        <f t="shared" si="9"/>
        <v>0</v>
      </c>
      <c r="AG107" s="21"/>
      <c r="AH107" s="19">
        <v>0.0</v>
      </c>
      <c r="AI107" s="20">
        <f t="shared" si="10"/>
        <v>0</v>
      </c>
      <c r="AJ107" s="21"/>
      <c r="AK107" s="19">
        <v>0.0</v>
      </c>
      <c r="AL107" s="20">
        <f t="shared" si="11"/>
        <v>0</v>
      </c>
      <c r="AM107" s="21"/>
      <c r="AN107" s="22">
        <f t="shared" si="12"/>
        <v>3</v>
      </c>
      <c r="AO107" s="22">
        <f t="shared" si="13"/>
        <v>0</v>
      </c>
    </row>
    <row r="108" ht="15.75" customHeight="1">
      <c r="A108" s="23"/>
      <c r="B108" s="23"/>
      <c r="C108" s="30" t="s">
        <v>179</v>
      </c>
      <c r="D108" s="17" t="s">
        <v>26</v>
      </c>
      <c r="E108" s="17" t="s">
        <v>27</v>
      </c>
      <c r="F108" s="26">
        <v>3.0</v>
      </c>
      <c r="G108" s="27">
        <v>0.0</v>
      </c>
      <c r="H108" s="20">
        <f t="shared" si="1"/>
        <v>3</v>
      </c>
      <c r="I108" s="28"/>
      <c r="J108" s="27">
        <v>0.0</v>
      </c>
      <c r="K108" s="20">
        <f t="shared" si="2"/>
        <v>3</v>
      </c>
      <c r="L108" s="28"/>
      <c r="M108" s="27">
        <v>0.0</v>
      </c>
      <c r="N108" s="20">
        <f t="shared" si="3"/>
        <v>3</v>
      </c>
      <c r="O108" s="28"/>
      <c r="P108" s="27">
        <v>0.0</v>
      </c>
      <c r="Q108" s="20">
        <f t="shared" si="4"/>
        <v>3</v>
      </c>
      <c r="R108" s="21"/>
      <c r="S108" s="19">
        <v>0.0</v>
      </c>
      <c r="T108" s="20">
        <f t="shared" si="5"/>
        <v>3</v>
      </c>
      <c r="U108" s="21"/>
      <c r="V108" s="16">
        <v>0.0</v>
      </c>
      <c r="W108" s="20">
        <f t="shared" si="6"/>
        <v>3</v>
      </c>
      <c r="X108" s="21"/>
      <c r="Y108" s="19">
        <v>1.5</v>
      </c>
      <c r="Z108" s="20">
        <f t="shared" si="7"/>
        <v>1.5</v>
      </c>
      <c r="AA108" s="21"/>
      <c r="AB108" s="19">
        <v>1.5</v>
      </c>
      <c r="AC108" s="20">
        <f t="shared" si="8"/>
        <v>0</v>
      </c>
      <c r="AD108" s="21"/>
      <c r="AE108" s="19">
        <v>0.0</v>
      </c>
      <c r="AF108" s="20">
        <f t="shared" si="9"/>
        <v>0</v>
      </c>
      <c r="AG108" s="21"/>
      <c r="AH108" s="19">
        <v>0.0</v>
      </c>
      <c r="AI108" s="20">
        <f t="shared" si="10"/>
        <v>0</v>
      </c>
      <c r="AJ108" s="21"/>
      <c r="AK108" s="19">
        <v>0.0</v>
      </c>
      <c r="AL108" s="20">
        <f t="shared" si="11"/>
        <v>0</v>
      </c>
      <c r="AM108" s="21"/>
      <c r="AN108" s="22">
        <f t="shared" si="12"/>
        <v>3</v>
      </c>
      <c r="AO108" s="22">
        <f t="shared" si="13"/>
        <v>0</v>
      </c>
    </row>
    <row r="109" ht="15.75" customHeight="1">
      <c r="A109" s="24"/>
      <c r="B109" s="24"/>
      <c r="C109" s="30" t="s">
        <v>180</v>
      </c>
      <c r="D109" s="17" t="s">
        <v>26</v>
      </c>
      <c r="E109" s="17" t="s">
        <v>27</v>
      </c>
      <c r="F109" s="26">
        <v>3.0</v>
      </c>
      <c r="G109" s="27">
        <v>0.0</v>
      </c>
      <c r="H109" s="20">
        <f t="shared" si="1"/>
        <v>3</v>
      </c>
      <c r="I109" s="28"/>
      <c r="J109" s="31">
        <v>1.5</v>
      </c>
      <c r="K109" s="20">
        <f t="shared" si="2"/>
        <v>1.5</v>
      </c>
      <c r="L109" s="28"/>
      <c r="M109" s="31">
        <v>1.5</v>
      </c>
      <c r="N109" s="20">
        <f t="shared" si="3"/>
        <v>0</v>
      </c>
      <c r="O109" s="28"/>
      <c r="P109" s="27">
        <v>0.0</v>
      </c>
      <c r="Q109" s="20">
        <f t="shared" si="4"/>
        <v>0</v>
      </c>
      <c r="R109" s="21"/>
      <c r="S109" s="19">
        <v>0.0</v>
      </c>
      <c r="T109" s="20">
        <f t="shared" si="5"/>
        <v>0</v>
      </c>
      <c r="U109" s="21"/>
      <c r="V109" s="16">
        <v>0.0</v>
      </c>
      <c r="W109" s="20">
        <f t="shared" si="6"/>
        <v>0</v>
      </c>
      <c r="X109" s="21"/>
      <c r="Y109" s="32">
        <v>0.0</v>
      </c>
      <c r="Z109" s="20">
        <f t="shared" si="7"/>
        <v>0</v>
      </c>
      <c r="AA109" s="21"/>
      <c r="AB109" s="19"/>
      <c r="AC109" s="20">
        <f t="shared" si="8"/>
        <v>0</v>
      </c>
      <c r="AD109" s="21"/>
      <c r="AE109" s="19">
        <v>0.0</v>
      </c>
      <c r="AF109" s="20">
        <f t="shared" si="9"/>
        <v>0</v>
      </c>
      <c r="AG109" s="21"/>
      <c r="AH109" s="19">
        <v>0.0</v>
      </c>
      <c r="AI109" s="20">
        <f t="shared" si="10"/>
        <v>0</v>
      </c>
      <c r="AJ109" s="21"/>
      <c r="AK109" s="19">
        <v>0.0</v>
      </c>
      <c r="AL109" s="20">
        <f t="shared" si="11"/>
        <v>0</v>
      </c>
      <c r="AM109" s="21"/>
      <c r="AN109" s="22">
        <f t="shared" si="12"/>
        <v>3</v>
      </c>
      <c r="AO109" s="22">
        <f t="shared" si="13"/>
        <v>0</v>
      </c>
    </row>
    <row r="110" ht="15.75" customHeight="1">
      <c r="A110" s="14" t="s">
        <v>181</v>
      </c>
      <c r="B110" s="29" t="s">
        <v>182</v>
      </c>
      <c r="C110" s="30" t="s">
        <v>183</v>
      </c>
      <c r="D110" s="17" t="s">
        <v>26</v>
      </c>
      <c r="E110" s="17" t="s">
        <v>27</v>
      </c>
      <c r="F110" s="26">
        <v>3.0</v>
      </c>
      <c r="G110" s="27">
        <v>0.0</v>
      </c>
      <c r="H110" s="20">
        <f t="shared" si="1"/>
        <v>3</v>
      </c>
      <c r="I110" s="28"/>
      <c r="J110" s="27">
        <v>0.0</v>
      </c>
      <c r="K110" s="20">
        <f t="shared" si="2"/>
        <v>3</v>
      </c>
      <c r="L110" s="28"/>
      <c r="M110" s="27">
        <v>0.0</v>
      </c>
      <c r="N110" s="20">
        <f t="shared" si="3"/>
        <v>3</v>
      </c>
      <c r="O110" s="28"/>
      <c r="P110" s="27">
        <v>0.0</v>
      </c>
      <c r="Q110" s="20">
        <f t="shared" si="4"/>
        <v>3</v>
      </c>
      <c r="R110" s="21"/>
      <c r="S110" s="19">
        <v>0.0</v>
      </c>
      <c r="T110" s="20">
        <f t="shared" si="5"/>
        <v>3</v>
      </c>
      <c r="U110" s="21"/>
      <c r="V110" s="16">
        <v>0.0</v>
      </c>
      <c r="W110" s="20">
        <f t="shared" si="6"/>
        <v>3</v>
      </c>
      <c r="X110" s="21"/>
      <c r="Y110" s="32">
        <v>0.0</v>
      </c>
      <c r="Z110" s="20">
        <f t="shared" si="7"/>
        <v>3</v>
      </c>
      <c r="AA110" s="21"/>
      <c r="AB110" s="19">
        <v>1.5</v>
      </c>
      <c r="AC110" s="20">
        <f t="shared" si="8"/>
        <v>1.5</v>
      </c>
      <c r="AD110" s="21"/>
      <c r="AE110" s="32">
        <v>1.5</v>
      </c>
      <c r="AF110" s="20">
        <f t="shared" si="9"/>
        <v>0</v>
      </c>
      <c r="AG110" s="21"/>
      <c r="AH110" s="19">
        <v>0.0</v>
      </c>
      <c r="AI110" s="20">
        <f t="shared" si="10"/>
        <v>0</v>
      </c>
      <c r="AJ110" s="21"/>
      <c r="AK110" s="19">
        <v>0.0</v>
      </c>
      <c r="AL110" s="20">
        <f t="shared" si="11"/>
        <v>0</v>
      </c>
      <c r="AM110" s="21"/>
      <c r="AN110" s="22">
        <f t="shared" si="12"/>
        <v>3</v>
      </c>
      <c r="AO110" s="22">
        <f t="shared" si="13"/>
        <v>0</v>
      </c>
    </row>
    <row r="111" ht="15.75" customHeight="1">
      <c r="A111" s="23"/>
      <c r="B111" s="23"/>
      <c r="C111" s="30" t="s">
        <v>184</v>
      </c>
      <c r="D111" s="17" t="s">
        <v>26</v>
      </c>
      <c r="E111" s="17" t="s">
        <v>27</v>
      </c>
      <c r="F111" s="26">
        <v>3.0</v>
      </c>
      <c r="G111" s="27">
        <v>0.0</v>
      </c>
      <c r="H111" s="20">
        <f t="shared" si="1"/>
        <v>3</v>
      </c>
      <c r="I111" s="28"/>
      <c r="J111" s="27">
        <v>0.0</v>
      </c>
      <c r="K111" s="20">
        <f t="shared" si="2"/>
        <v>3</v>
      </c>
      <c r="L111" s="28"/>
      <c r="M111" s="27">
        <v>0.0</v>
      </c>
      <c r="N111" s="20">
        <f t="shared" si="3"/>
        <v>3</v>
      </c>
      <c r="O111" s="28"/>
      <c r="P111" s="27">
        <v>0.0</v>
      </c>
      <c r="Q111" s="20">
        <f t="shared" si="4"/>
        <v>3</v>
      </c>
      <c r="R111" s="21"/>
      <c r="S111" s="19">
        <v>0.0</v>
      </c>
      <c r="T111" s="20">
        <f t="shared" si="5"/>
        <v>3</v>
      </c>
      <c r="U111" s="21"/>
      <c r="V111" s="16">
        <v>0.0</v>
      </c>
      <c r="W111" s="20">
        <f t="shared" si="6"/>
        <v>3</v>
      </c>
      <c r="X111" s="21"/>
      <c r="Y111" s="19">
        <v>1.5</v>
      </c>
      <c r="Z111" s="20">
        <f t="shared" si="7"/>
        <v>1.5</v>
      </c>
      <c r="AA111" s="21"/>
      <c r="AB111" s="19">
        <v>1.5</v>
      </c>
      <c r="AC111" s="20">
        <f t="shared" si="8"/>
        <v>0</v>
      </c>
      <c r="AD111" s="21"/>
      <c r="AE111" s="19">
        <v>0.0</v>
      </c>
      <c r="AF111" s="20">
        <f t="shared" si="9"/>
        <v>0</v>
      </c>
      <c r="AG111" s="21"/>
      <c r="AH111" s="19">
        <v>0.0</v>
      </c>
      <c r="AI111" s="20">
        <f t="shared" si="10"/>
        <v>0</v>
      </c>
      <c r="AJ111" s="21"/>
      <c r="AK111" s="19">
        <v>0.0</v>
      </c>
      <c r="AL111" s="20">
        <f t="shared" si="11"/>
        <v>0</v>
      </c>
      <c r="AM111" s="21"/>
      <c r="AN111" s="22">
        <f t="shared" si="12"/>
        <v>3</v>
      </c>
      <c r="AO111" s="22">
        <f t="shared" si="13"/>
        <v>0</v>
      </c>
    </row>
    <row r="112" ht="15.75" customHeight="1">
      <c r="A112" s="24"/>
      <c r="B112" s="24"/>
      <c r="C112" s="30" t="s">
        <v>185</v>
      </c>
      <c r="D112" s="17" t="s">
        <v>26</v>
      </c>
      <c r="E112" s="17" t="s">
        <v>27</v>
      </c>
      <c r="F112" s="26">
        <v>3.0</v>
      </c>
      <c r="G112" s="27">
        <v>0.0</v>
      </c>
      <c r="H112" s="20">
        <f t="shared" si="1"/>
        <v>3</v>
      </c>
      <c r="I112" s="28"/>
      <c r="J112" s="27">
        <v>0.0</v>
      </c>
      <c r="K112" s="20">
        <f t="shared" si="2"/>
        <v>3</v>
      </c>
      <c r="L112" s="28"/>
      <c r="M112" s="27">
        <v>0.0</v>
      </c>
      <c r="N112" s="20">
        <f t="shared" si="3"/>
        <v>3</v>
      </c>
      <c r="O112" s="28"/>
      <c r="P112" s="27">
        <v>0.0</v>
      </c>
      <c r="Q112" s="20">
        <f t="shared" si="4"/>
        <v>3</v>
      </c>
      <c r="R112" s="21"/>
      <c r="S112" s="32">
        <v>1.5</v>
      </c>
      <c r="T112" s="20">
        <f t="shared" si="5"/>
        <v>1.5</v>
      </c>
      <c r="U112" s="21"/>
      <c r="V112" s="25">
        <v>1.5</v>
      </c>
      <c r="W112" s="20">
        <f t="shared" si="6"/>
        <v>0</v>
      </c>
      <c r="X112" s="21"/>
      <c r="Y112" s="32">
        <v>0.0</v>
      </c>
      <c r="Z112" s="20">
        <f t="shared" si="7"/>
        <v>0</v>
      </c>
      <c r="AA112" s="21"/>
      <c r="AB112" s="32">
        <v>0.0</v>
      </c>
      <c r="AC112" s="20">
        <f t="shared" si="8"/>
        <v>0</v>
      </c>
      <c r="AD112" s="21"/>
      <c r="AE112" s="19">
        <v>0.0</v>
      </c>
      <c r="AF112" s="20">
        <f t="shared" si="9"/>
        <v>0</v>
      </c>
      <c r="AG112" s="21"/>
      <c r="AH112" s="19">
        <v>0.0</v>
      </c>
      <c r="AI112" s="20">
        <f t="shared" si="10"/>
        <v>0</v>
      </c>
      <c r="AJ112" s="21"/>
      <c r="AK112" s="19">
        <v>0.0</v>
      </c>
      <c r="AL112" s="20">
        <f t="shared" si="11"/>
        <v>0</v>
      </c>
      <c r="AM112" s="21"/>
      <c r="AN112" s="22">
        <f t="shared" si="12"/>
        <v>3</v>
      </c>
      <c r="AO112" s="22">
        <f t="shared" si="13"/>
        <v>0</v>
      </c>
    </row>
    <row r="113" ht="15.75" customHeight="1">
      <c r="A113" s="33"/>
      <c r="B113" s="34"/>
      <c r="C113" s="3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row>
    <row r="114" ht="15.75" customHeight="1">
      <c r="A114" s="35"/>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row>
    <row r="115" ht="15.75" customHeight="1">
      <c r="A115" s="3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row>
    <row r="116" ht="15.75" customHeight="1">
      <c r="A116" s="3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M950" s="4"/>
      <c r="AN950" s="4"/>
      <c r="AO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M951" s="4"/>
      <c r="AN951" s="4"/>
      <c r="AO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M952" s="4"/>
      <c r="AN952" s="4"/>
      <c r="AO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M953" s="4"/>
      <c r="AN953" s="4"/>
      <c r="AO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M954" s="4"/>
      <c r="AN954" s="4"/>
      <c r="AO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M955" s="4"/>
      <c r="AN955" s="4"/>
      <c r="AO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M956" s="4"/>
      <c r="AN956" s="4"/>
      <c r="AO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c r="AL957" s="4"/>
      <c r="AM957" s="4"/>
      <c r="AN957" s="4"/>
      <c r="AO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c r="AL958" s="4"/>
      <c r="AM958" s="4"/>
      <c r="AN958" s="4"/>
      <c r="AO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c r="AL959" s="4"/>
      <c r="AM959" s="4"/>
      <c r="AN959" s="4"/>
      <c r="AO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c r="AL960" s="4"/>
      <c r="AM960" s="4"/>
      <c r="AN960" s="4"/>
      <c r="AO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c r="AL961" s="4"/>
      <c r="AM961" s="4"/>
      <c r="AN961" s="4"/>
      <c r="AO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c r="AL962" s="4"/>
      <c r="AM962" s="4"/>
      <c r="AN962" s="4"/>
      <c r="AO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c r="AL963" s="4"/>
      <c r="AM963" s="4"/>
      <c r="AN963" s="4"/>
      <c r="AO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c r="AL964" s="4"/>
      <c r="AM964" s="4"/>
      <c r="AN964" s="4"/>
      <c r="AO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c r="AL965" s="4"/>
      <c r="AM965" s="4"/>
      <c r="AN965" s="4"/>
      <c r="AO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c r="AL966" s="4"/>
      <c r="AM966" s="4"/>
      <c r="AN966" s="4"/>
      <c r="AO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c r="AL967" s="4"/>
      <c r="AM967" s="4"/>
      <c r="AN967" s="4"/>
      <c r="AO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c r="AL968" s="4"/>
      <c r="AM968" s="4"/>
      <c r="AN968" s="4"/>
      <c r="AO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c r="AL969" s="4"/>
      <c r="AM969" s="4"/>
      <c r="AN969" s="4"/>
      <c r="AO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c r="AL970" s="4"/>
      <c r="AM970" s="4"/>
      <c r="AN970" s="4"/>
      <c r="AO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c r="AL971" s="4"/>
      <c r="AM971" s="4"/>
      <c r="AN971" s="4"/>
      <c r="AO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c r="AL972" s="4"/>
      <c r="AM972" s="4"/>
      <c r="AN972" s="4"/>
      <c r="AO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c r="AL973" s="4"/>
      <c r="AM973" s="4"/>
      <c r="AN973" s="4"/>
      <c r="AO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c r="AL974" s="4"/>
      <c r="AM974" s="4"/>
      <c r="AN974" s="4"/>
      <c r="AO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c r="AL975" s="4"/>
      <c r="AM975" s="4"/>
      <c r="AN975" s="4"/>
      <c r="AO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c r="AJ976" s="4"/>
      <c r="AK976" s="4"/>
      <c r="AL976" s="4"/>
      <c r="AM976" s="4"/>
      <c r="AN976" s="4"/>
      <c r="AO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c r="AJ977" s="4"/>
      <c r="AK977" s="4"/>
      <c r="AL977" s="4"/>
      <c r="AM977" s="4"/>
      <c r="AN977" s="4"/>
      <c r="AO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c r="AJ978" s="4"/>
      <c r="AK978" s="4"/>
      <c r="AL978" s="4"/>
      <c r="AM978" s="4"/>
      <c r="AN978" s="4"/>
      <c r="AO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c r="AJ979" s="4"/>
      <c r="AK979" s="4"/>
      <c r="AL979" s="4"/>
      <c r="AM979" s="4"/>
      <c r="AN979" s="4"/>
      <c r="AO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c r="AJ980" s="4"/>
      <c r="AK980" s="4"/>
      <c r="AL980" s="4"/>
      <c r="AM980" s="4"/>
      <c r="AN980" s="4"/>
      <c r="AO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c r="AJ981" s="4"/>
      <c r="AK981" s="4"/>
      <c r="AL981" s="4"/>
      <c r="AM981" s="4"/>
      <c r="AN981" s="4"/>
      <c r="AO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c r="AJ982" s="4"/>
      <c r="AK982" s="4"/>
      <c r="AL982" s="4"/>
      <c r="AM982" s="4"/>
      <c r="AN982" s="4"/>
      <c r="AO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c r="AJ983" s="4"/>
      <c r="AK983" s="4"/>
      <c r="AL983" s="4"/>
      <c r="AM983" s="4"/>
      <c r="AN983" s="4"/>
      <c r="AO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c r="AJ984" s="4"/>
      <c r="AK984" s="4"/>
      <c r="AL984" s="4"/>
      <c r="AM984" s="4"/>
      <c r="AN984" s="4"/>
      <c r="AO984" s="4"/>
    </row>
    <row r="985" ht="15.75" customHeight="1">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c r="AJ985" s="4"/>
      <c r="AK985" s="4"/>
      <c r="AL985" s="4"/>
      <c r="AM985" s="4"/>
      <c r="AN985" s="4"/>
      <c r="AO985" s="4"/>
    </row>
    <row r="986" ht="15.75" customHeight="1">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c r="AJ986" s="4"/>
      <c r="AK986" s="4"/>
      <c r="AL986" s="4"/>
      <c r="AM986" s="4"/>
      <c r="AN986" s="4"/>
      <c r="AO986" s="4"/>
    </row>
    <row r="987" ht="15.75" customHeight="1">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c r="AJ987" s="4"/>
      <c r="AK987" s="4"/>
      <c r="AL987" s="4"/>
      <c r="AM987" s="4"/>
      <c r="AN987" s="4"/>
      <c r="AO987" s="4"/>
    </row>
    <row r="988" ht="15.75" customHeight="1">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c r="AJ988" s="4"/>
      <c r="AK988" s="4"/>
      <c r="AL988" s="4"/>
      <c r="AM988" s="4"/>
      <c r="AN988" s="4"/>
      <c r="AO988" s="4"/>
    </row>
  </sheetData>
  <mergeCells count="70">
    <mergeCell ref="A15:A18"/>
    <mergeCell ref="A19:A22"/>
    <mergeCell ref="B19:B22"/>
    <mergeCell ref="A23:A26"/>
    <mergeCell ref="B23:B26"/>
    <mergeCell ref="A27:A30"/>
    <mergeCell ref="B27:B30"/>
    <mergeCell ref="A31:A34"/>
    <mergeCell ref="B31:B34"/>
    <mergeCell ref="A35:A38"/>
    <mergeCell ref="B35:B38"/>
    <mergeCell ref="A39:A42"/>
    <mergeCell ref="B39:B42"/>
    <mergeCell ref="B43:B46"/>
    <mergeCell ref="A55:A58"/>
    <mergeCell ref="B55:B58"/>
    <mergeCell ref="A59:A62"/>
    <mergeCell ref="B59:B62"/>
    <mergeCell ref="A63:A66"/>
    <mergeCell ref="B63:B66"/>
    <mergeCell ref="B67:B70"/>
    <mergeCell ref="A95:A98"/>
    <mergeCell ref="A99:A101"/>
    <mergeCell ref="A102:A105"/>
    <mergeCell ref="A106:A109"/>
    <mergeCell ref="A110:A112"/>
    <mergeCell ref="A113:A116"/>
    <mergeCell ref="A67:A70"/>
    <mergeCell ref="A71:A74"/>
    <mergeCell ref="A75:A78"/>
    <mergeCell ref="A79:A82"/>
    <mergeCell ref="A83:A86"/>
    <mergeCell ref="A87:A90"/>
    <mergeCell ref="A91:A94"/>
    <mergeCell ref="B99:B101"/>
    <mergeCell ref="B102:B105"/>
    <mergeCell ref="B106:B109"/>
    <mergeCell ref="B110:B112"/>
    <mergeCell ref="B71:B74"/>
    <mergeCell ref="B75:B78"/>
    <mergeCell ref="B79:B82"/>
    <mergeCell ref="B83:B86"/>
    <mergeCell ref="B87:B90"/>
    <mergeCell ref="B91:B94"/>
    <mergeCell ref="B95:B98"/>
    <mergeCell ref="Y4:Z4"/>
    <mergeCell ref="AB4:AC4"/>
    <mergeCell ref="AE4:AF4"/>
    <mergeCell ref="AH4:AI4"/>
    <mergeCell ref="AK4:AL4"/>
    <mergeCell ref="AN4:AO4"/>
    <mergeCell ref="A1:AN1"/>
    <mergeCell ref="A2:AO2"/>
    <mergeCell ref="A3:AO3"/>
    <mergeCell ref="G4:H4"/>
    <mergeCell ref="J4:K4"/>
    <mergeCell ref="M4:N4"/>
    <mergeCell ref="P4:Q4"/>
    <mergeCell ref="S4:T4"/>
    <mergeCell ref="V4:W4"/>
    <mergeCell ref="A6:A9"/>
    <mergeCell ref="B6:B9"/>
    <mergeCell ref="A10:A14"/>
    <mergeCell ref="B10:B14"/>
    <mergeCell ref="B15:B18"/>
    <mergeCell ref="A43:A46"/>
    <mergeCell ref="A47:A50"/>
    <mergeCell ref="A51:A54"/>
    <mergeCell ref="B47:B50"/>
    <mergeCell ref="B51:B54"/>
  </mergeCells>
  <printOptions/>
  <pageMargins bottom="0.7480314960629921" footer="0.0" header="0.0" left="0.6299212598425197" right="0.6299212598425197" top="0.7480314960629921"/>
  <pageSetup orientation="landscape"/>
  <colBreaks count="3" manualBreakCount="3">
    <brk id="35" man="1"/>
    <brk id="20" man="1"/>
    <brk id="41" man="1"/>
  </colBrea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27.71"/>
    <col customWidth="1" min="3" max="3" width="86.0"/>
    <col customWidth="1" min="4" max="4" width="2.86"/>
    <col customWidth="1" min="5" max="6" width="11.43"/>
    <col customWidth="1" min="7" max="23" width="10.71"/>
  </cols>
  <sheetData>
    <row r="1">
      <c r="A1" s="37"/>
      <c r="B1" s="38" t="s">
        <v>186</v>
      </c>
      <c r="C1" s="37"/>
      <c r="D1" s="37"/>
      <c r="E1" s="37"/>
      <c r="F1" s="37"/>
      <c r="G1" s="37"/>
      <c r="H1" s="37"/>
      <c r="I1" s="37"/>
      <c r="J1" s="37"/>
      <c r="K1" s="37"/>
      <c r="L1" s="37"/>
      <c r="M1" s="37"/>
      <c r="N1" s="37"/>
      <c r="O1" s="37"/>
      <c r="P1" s="37"/>
      <c r="Q1" s="37"/>
      <c r="R1" s="37"/>
      <c r="S1" s="37"/>
      <c r="T1" s="37"/>
      <c r="U1" s="37"/>
      <c r="V1" s="37"/>
      <c r="W1" s="37"/>
      <c r="X1" s="37"/>
      <c r="Y1" s="37"/>
      <c r="Z1" s="37"/>
    </row>
    <row r="2">
      <c r="A2" s="37"/>
      <c r="B2" s="39" t="s">
        <v>2</v>
      </c>
      <c r="C2" s="37"/>
      <c r="D2" s="37"/>
      <c r="E2" s="37"/>
      <c r="F2" s="37"/>
      <c r="G2" s="37"/>
      <c r="H2" s="37"/>
      <c r="I2" s="37"/>
      <c r="J2" s="37"/>
      <c r="K2" s="37"/>
      <c r="L2" s="37"/>
      <c r="M2" s="37"/>
      <c r="N2" s="37"/>
      <c r="O2" s="37"/>
      <c r="P2" s="37"/>
      <c r="Q2" s="37"/>
      <c r="R2" s="37"/>
      <c r="S2" s="37"/>
      <c r="T2" s="37"/>
      <c r="U2" s="37"/>
      <c r="V2" s="37"/>
      <c r="W2" s="37"/>
      <c r="X2" s="37"/>
      <c r="Y2" s="37"/>
      <c r="Z2" s="37"/>
    </row>
    <row r="3">
      <c r="A3" s="37"/>
      <c r="B3" s="37"/>
      <c r="C3" s="37"/>
      <c r="D3" s="37"/>
      <c r="E3" s="37"/>
      <c r="F3" s="37"/>
      <c r="G3" s="37"/>
      <c r="H3" s="37"/>
      <c r="I3" s="37"/>
      <c r="J3" s="37"/>
      <c r="K3" s="37"/>
      <c r="L3" s="37"/>
      <c r="M3" s="37"/>
      <c r="N3" s="37"/>
      <c r="O3" s="37"/>
      <c r="P3" s="37"/>
      <c r="Q3" s="37"/>
      <c r="R3" s="37"/>
      <c r="S3" s="37"/>
      <c r="T3" s="37"/>
      <c r="U3" s="37"/>
      <c r="V3" s="37"/>
      <c r="W3" s="37"/>
      <c r="X3" s="37"/>
      <c r="Y3" s="37"/>
      <c r="Z3" s="37"/>
    </row>
    <row r="4">
      <c r="A4" s="37"/>
      <c r="B4" s="40" t="s">
        <v>187</v>
      </c>
      <c r="C4" s="40" t="s">
        <v>188</v>
      </c>
      <c r="D4" s="37"/>
      <c r="E4" s="37"/>
      <c r="F4" s="37"/>
      <c r="G4" s="37"/>
      <c r="H4" s="37"/>
      <c r="I4" s="37"/>
      <c r="J4" s="37"/>
      <c r="K4" s="37"/>
      <c r="L4" s="37"/>
      <c r="M4" s="37"/>
      <c r="N4" s="37"/>
      <c r="O4" s="37"/>
      <c r="P4" s="37"/>
      <c r="Q4" s="37"/>
      <c r="R4" s="37"/>
      <c r="S4" s="37"/>
      <c r="T4" s="37"/>
      <c r="U4" s="37"/>
      <c r="V4" s="37"/>
      <c r="W4" s="37"/>
      <c r="X4" s="37"/>
      <c r="Y4" s="37"/>
      <c r="Z4" s="37"/>
    </row>
    <row r="5">
      <c r="A5" s="37"/>
      <c r="B5" s="26" t="str">
        <f t="shared" ref="B5:B6" si="1">#REF!</f>
        <v>#REF!</v>
      </c>
      <c r="C5" s="26" t="s">
        <v>189</v>
      </c>
      <c r="D5" s="37"/>
      <c r="E5" s="37"/>
      <c r="F5" s="37"/>
      <c r="G5" s="37"/>
      <c r="H5" s="37"/>
      <c r="I5" s="37"/>
      <c r="J5" s="37"/>
      <c r="K5" s="37"/>
      <c r="L5" s="37"/>
      <c r="M5" s="37"/>
      <c r="N5" s="37"/>
      <c r="O5" s="37"/>
      <c r="P5" s="37"/>
      <c r="Q5" s="37"/>
      <c r="R5" s="37"/>
      <c r="S5" s="37"/>
      <c r="T5" s="37"/>
      <c r="U5" s="37"/>
      <c r="V5" s="37"/>
      <c r="W5" s="37"/>
      <c r="X5" s="37"/>
      <c r="Y5" s="37"/>
      <c r="Z5" s="37"/>
    </row>
    <row r="6">
      <c r="A6" s="37"/>
      <c r="B6" s="26" t="str">
        <f t="shared" si="1"/>
        <v>#REF!</v>
      </c>
      <c r="C6" s="26" t="s">
        <v>190</v>
      </c>
      <c r="D6" s="37"/>
      <c r="E6" s="37"/>
      <c r="F6" s="37"/>
      <c r="G6" s="37"/>
      <c r="H6" s="37"/>
      <c r="I6" s="37"/>
      <c r="J6" s="37"/>
      <c r="K6" s="37"/>
      <c r="L6" s="37"/>
      <c r="M6" s="37"/>
      <c r="N6" s="37"/>
      <c r="O6" s="37"/>
      <c r="P6" s="37"/>
      <c r="Q6" s="37"/>
      <c r="R6" s="37"/>
      <c r="S6" s="37"/>
      <c r="T6" s="37"/>
      <c r="U6" s="37"/>
      <c r="V6" s="37"/>
      <c r="W6" s="37"/>
      <c r="X6" s="37"/>
      <c r="Y6" s="37"/>
      <c r="Z6" s="37"/>
    </row>
    <row r="7">
      <c r="A7" s="37"/>
      <c r="B7" s="26" t="s">
        <v>17</v>
      </c>
      <c r="C7" s="26" t="s">
        <v>191</v>
      </c>
      <c r="D7" s="37"/>
      <c r="E7" s="37"/>
      <c r="F7" s="37"/>
      <c r="G7" s="37"/>
      <c r="H7" s="37"/>
      <c r="I7" s="37"/>
      <c r="J7" s="37"/>
      <c r="K7" s="37"/>
      <c r="L7" s="37"/>
      <c r="M7" s="37"/>
      <c r="N7" s="37"/>
      <c r="O7" s="37"/>
      <c r="P7" s="37"/>
      <c r="Q7" s="37"/>
      <c r="R7" s="37"/>
      <c r="S7" s="37"/>
      <c r="T7" s="37"/>
      <c r="U7" s="37"/>
      <c r="V7" s="37"/>
      <c r="W7" s="37"/>
      <c r="X7" s="37"/>
      <c r="Y7" s="37"/>
      <c r="Z7" s="37"/>
    </row>
    <row r="8">
      <c r="A8" s="37"/>
      <c r="B8" s="26" t="s">
        <v>18</v>
      </c>
      <c r="C8" s="26" t="s">
        <v>192</v>
      </c>
      <c r="D8" s="37"/>
      <c r="E8" s="37"/>
      <c r="F8" s="37"/>
      <c r="G8" s="37"/>
      <c r="H8" s="37"/>
      <c r="I8" s="37"/>
      <c r="J8" s="37"/>
      <c r="K8" s="37"/>
      <c r="L8" s="37"/>
      <c r="M8" s="37"/>
      <c r="N8" s="37"/>
      <c r="O8" s="37"/>
      <c r="P8" s="37"/>
      <c r="Q8" s="37"/>
      <c r="R8" s="37"/>
      <c r="S8" s="37"/>
      <c r="T8" s="37"/>
      <c r="U8" s="37"/>
      <c r="V8" s="37"/>
      <c r="W8" s="37"/>
      <c r="X8" s="37"/>
      <c r="Y8" s="37"/>
      <c r="Z8" s="37"/>
    </row>
    <row r="9">
      <c r="A9" s="37"/>
      <c r="B9" s="26" t="s">
        <v>19</v>
      </c>
      <c r="C9" s="26" t="s">
        <v>193</v>
      </c>
      <c r="D9" s="37"/>
      <c r="E9" s="37"/>
      <c r="F9" s="37"/>
      <c r="G9" s="37"/>
      <c r="H9" s="37"/>
      <c r="I9" s="37"/>
      <c r="J9" s="37"/>
      <c r="K9" s="37"/>
      <c r="L9" s="37"/>
      <c r="M9" s="37"/>
      <c r="N9" s="37"/>
      <c r="O9" s="37"/>
      <c r="P9" s="37"/>
      <c r="Q9" s="37"/>
      <c r="R9" s="37"/>
      <c r="S9" s="37"/>
      <c r="T9" s="37"/>
      <c r="U9" s="37"/>
      <c r="V9" s="37"/>
      <c r="W9" s="37"/>
      <c r="X9" s="37"/>
      <c r="Y9" s="37"/>
      <c r="Z9" s="37"/>
    </row>
    <row r="10">
      <c r="A10" s="37"/>
      <c r="B10" s="26" t="s">
        <v>20</v>
      </c>
      <c r="C10" s="26" t="s">
        <v>194</v>
      </c>
      <c r="D10" s="37"/>
      <c r="E10" s="37"/>
      <c r="F10" s="37"/>
      <c r="G10" s="37"/>
      <c r="H10" s="37"/>
      <c r="I10" s="37"/>
      <c r="J10" s="37"/>
      <c r="K10" s="37"/>
      <c r="L10" s="37"/>
      <c r="M10" s="37"/>
      <c r="N10" s="37"/>
      <c r="O10" s="37"/>
      <c r="P10" s="37"/>
      <c r="Q10" s="37"/>
      <c r="R10" s="37"/>
      <c r="S10" s="37"/>
      <c r="T10" s="37"/>
      <c r="U10" s="37"/>
      <c r="V10" s="37"/>
      <c r="W10" s="37"/>
      <c r="X10" s="37"/>
      <c r="Y10" s="37"/>
      <c r="Z10" s="37"/>
    </row>
    <row r="11">
      <c r="A11" s="37"/>
      <c r="B11" s="26" t="s">
        <v>195</v>
      </c>
      <c r="C11" s="26" t="s">
        <v>196</v>
      </c>
      <c r="D11" s="37"/>
      <c r="E11" s="37"/>
      <c r="F11" s="37"/>
      <c r="G11" s="37"/>
      <c r="H11" s="37"/>
      <c r="I11" s="37"/>
      <c r="J11" s="37"/>
      <c r="K11" s="37"/>
      <c r="L11" s="37"/>
      <c r="M11" s="37"/>
      <c r="N11" s="37"/>
      <c r="O11" s="37"/>
      <c r="P11" s="37"/>
      <c r="Q11" s="37"/>
      <c r="R11" s="37"/>
      <c r="S11" s="37"/>
      <c r="T11" s="37"/>
      <c r="U11" s="37"/>
      <c r="V11" s="37"/>
      <c r="W11" s="37"/>
      <c r="X11" s="37"/>
      <c r="Y11" s="37"/>
      <c r="Z11" s="37"/>
    </row>
    <row r="12">
      <c r="A12" s="37"/>
      <c r="B12" s="26" t="s">
        <v>21</v>
      </c>
      <c r="C12" s="26" t="s">
        <v>197</v>
      </c>
      <c r="D12" s="37"/>
      <c r="E12" s="37"/>
      <c r="F12" s="37"/>
      <c r="G12" s="37"/>
      <c r="H12" s="37"/>
      <c r="I12" s="37"/>
      <c r="J12" s="37"/>
      <c r="K12" s="37"/>
      <c r="L12" s="37"/>
      <c r="M12" s="37"/>
      <c r="N12" s="37"/>
      <c r="O12" s="37"/>
      <c r="P12" s="37"/>
      <c r="Q12" s="37"/>
      <c r="R12" s="37"/>
      <c r="S12" s="37"/>
      <c r="T12" s="37"/>
      <c r="U12" s="37"/>
      <c r="V12" s="37"/>
      <c r="W12" s="37"/>
      <c r="X12" s="37"/>
      <c r="Y12" s="37"/>
      <c r="Z12" s="37"/>
    </row>
    <row r="13">
      <c r="A13" s="37"/>
      <c r="B13" s="26" t="s">
        <v>22</v>
      </c>
      <c r="C13" s="26" t="s">
        <v>198</v>
      </c>
      <c r="D13" s="37"/>
      <c r="E13" s="37"/>
      <c r="F13" s="37"/>
      <c r="G13" s="37"/>
      <c r="H13" s="37"/>
      <c r="I13" s="37"/>
      <c r="J13" s="37"/>
      <c r="K13" s="37"/>
      <c r="L13" s="37"/>
      <c r="M13" s="37"/>
      <c r="N13" s="37"/>
      <c r="O13" s="37"/>
      <c r="P13" s="37"/>
      <c r="Q13" s="37"/>
      <c r="R13" s="37"/>
      <c r="S13" s="37"/>
      <c r="T13" s="37"/>
      <c r="U13" s="37"/>
      <c r="V13" s="37"/>
      <c r="W13" s="37"/>
      <c r="X13" s="37"/>
      <c r="Y13" s="37"/>
      <c r="Z13" s="37"/>
    </row>
    <row r="14">
      <c r="A14" s="37"/>
      <c r="B14" s="26" t="s">
        <v>14</v>
      </c>
      <c r="C14" s="26" t="s">
        <v>199</v>
      </c>
      <c r="D14" s="37"/>
      <c r="E14" s="37"/>
      <c r="F14" s="37"/>
      <c r="G14" s="37"/>
      <c r="H14" s="37"/>
      <c r="I14" s="37"/>
      <c r="J14" s="37"/>
      <c r="K14" s="37"/>
      <c r="L14" s="37"/>
      <c r="M14" s="37"/>
      <c r="N14" s="37"/>
      <c r="O14" s="37"/>
      <c r="P14" s="37"/>
      <c r="Q14" s="37"/>
      <c r="R14" s="37"/>
      <c r="S14" s="37"/>
      <c r="T14" s="37"/>
      <c r="U14" s="37"/>
      <c r="V14" s="37"/>
      <c r="W14" s="37"/>
      <c r="X14" s="37"/>
      <c r="Y14" s="37"/>
      <c r="Z14" s="37"/>
    </row>
    <row r="15">
      <c r="A15" s="37"/>
      <c r="B15" s="37"/>
      <c r="C15" s="37"/>
      <c r="D15" s="37"/>
      <c r="E15" s="37"/>
      <c r="F15" s="37"/>
      <c r="G15" s="37"/>
      <c r="H15" s="37"/>
      <c r="I15" s="37"/>
      <c r="J15" s="37"/>
      <c r="K15" s="37"/>
      <c r="L15" s="37"/>
      <c r="M15" s="37"/>
      <c r="N15" s="37"/>
      <c r="O15" s="37"/>
      <c r="P15" s="37"/>
      <c r="Q15" s="37"/>
      <c r="R15" s="37"/>
      <c r="S15" s="37"/>
      <c r="T15" s="37"/>
      <c r="U15" s="37"/>
      <c r="V15" s="37"/>
      <c r="W15" s="37"/>
      <c r="X15" s="37"/>
      <c r="Y15" s="37"/>
      <c r="Z15" s="37"/>
    </row>
    <row r="16">
      <c r="A16" s="37"/>
      <c r="B16" s="37"/>
      <c r="C16" s="37"/>
      <c r="D16" s="37"/>
      <c r="E16" s="37"/>
      <c r="F16" s="37"/>
      <c r="G16" s="37"/>
      <c r="H16" s="37"/>
      <c r="I16" s="37"/>
      <c r="J16" s="37"/>
      <c r="K16" s="37"/>
      <c r="L16" s="37"/>
      <c r="M16" s="37"/>
      <c r="N16" s="37"/>
      <c r="O16" s="37"/>
      <c r="P16" s="37"/>
      <c r="Q16" s="37"/>
      <c r="R16" s="37"/>
      <c r="S16" s="37"/>
      <c r="T16" s="37"/>
      <c r="U16" s="37"/>
      <c r="V16" s="37"/>
      <c r="W16" s="37"/>
      <c r="X16" s="37"/>
      <c r="Y16" s="37"/>
      <c r="Z16" s="37"/>
    </row>
    <row r="17">
      <c r="A17" s="37"/>
      <c r="B17" s="37"/>
      <c r="C17" s="37"/>
      <c r="D17" s="37"/>
      <c r="E17" s="37"/>
      <c r="F17" s="37"/>
      <c r="G17" s="37"/>
      <c r="H17" s="37"/>
      <c r="I17" s="37"/>
      <c r="J17" s="37"/>
      <c r="K17" s="37"/>
      <c r="L17" s="37"/>
      <c r="M17" s="37"/>
      <c r="N17" s="37"/>
      <c r="O17" s="37"/>
      <c r="P17" s="37"/>
      <c r="Q17" s="37"/>
      <c r="R17" s="37"/>
      <c r="S17" s="37"/>
      <c r="T17" s="37"/>
      <c r="U17" s="37"/>
      <c r="V17" s="37"/>
      <c r="W17" s="37"/>
      <c r="X17" s="37"/>
      <c r="Y17" s="37"/>
      <c r="Z17" s="37"/>
    </row>
    <row r="18">
      <c r="A18" s="37"/>
      <c r="B18" s="37"/>
      <c r="C18" s="37"/>
      <c r="D18" s="37"/>
      <c r="E18" s="37"/>
      <c r="F18" s="37"/>
      <c r="G18" s="37"/>
      <c r="H18" s="37"/>
      <c r="I18" s="37"/>
      <c r="J18" s="37"/>
      <c r="K18" s="37"/>
      <c r="L18" s="37"/>
      <c r="M18" s="37"/>
      <c r="N18" s="37"/>
      <c r="O18" s="37"/>
      <c r="P18" s="37"/>
      <c r="Q18" s="37"/>
      <c r="R18" s="37"/>
      <c r="S18" s="37"/>
      <c r="T18" s="37"/>
      <c r="U18" s="37"/>
      <c r="V18" s="37"/>
      <c r="W18" s="37"/>
      <c r="X18" s="37"/>
      <c r="Y18" s="37"/>
      <c r="Z18" s="37"/>
    </row>
    <row r="19">
      <c r="A19" s="37"/>
      <c r="B19" s="37"/>
      <c r="C19" s="37"/>
      <c r="D19" s="37"/>
      <c r="E19" s="37"/>
      <c r="F19" s="37"/>
      <c r="G19" s="37"/>
      <c r="H19" s="37"/>
      <c r="I19" s="37"/>
      <c r="J19" s="37"/>
      <c r="K19" s="37"/>
      <c r="L19" s="37"/>
      <c r="M19" s="37"/>
      <c r="N19" s="37"/>
      <c r="O19" s="37"/>
      <c r="P19" s="37"/>
      <c r="Q19" s="37"/>
      <c r="R19" s="37"/>
      <c r="S19" s="37"/>
      <c r="T19" s="37"/>
      <c r="U19" s="37"/>
      <c r="V19" s="37"/>
      <c r="W19" s="37"/>
      <c r="X19" s="37"/>
      <c r="Y19" s="37"/>
      <c r="Z19" s="37"/>
    </row>
    <row r="20">
      <c r="A20" s="37"/>
      <c r="B20" s="37"/>
      <c r="C20" s="37"/>
      <c r="D20" s="37"/>
      <c r="E20" s="37"/>
      <c r="F20" s="37"/>
      <c r="G20" s="37"/>
      <c r="H20" s="37"/>
      <c r="I20" s="37"/>
      <c r="J20" s="37"/>
      <c r="K20" s="37"/>
      <c r="L20" s="37"/>
      <c r="M20" s="37"/>
      <c r="N20" s="37"/>
      <c r="O20" s="37"/>
      <c r="P20" s="37"/>
      <c r="Q20" s="37"/>
      <c r="R20" s="37"/>
      <c r="S20" s="37"/>
      <c r="T20" s="37"/>
      <c r="U20" s="37"/>
      <c r="V20" s="37"/>
      <c r="W20" s="37"/>
      <c r="X20" s="37"/>
      <c r="Y20" s="37"/>
      <c r="Z20" s="37"/>
    </row>
    <row r="21" ht="15.75" customHeight="1">
      <c r="A21" s="37"/>
      <c r="B21" s="37"/>
      <c r="C21" s="37"/>
      <c r="D21" s="37"/>
      <c r="E21" s="37"/>
      <c r="F21" s="37"/>
      <c r="G21" s="37"/>
      <c r="H21" s="37"/>
      <c r="I21" s="37"/>
      <c r="J21" s="37"/>
      <c r="K21" s="37"/>
      <c r="L21" s="37"/>
      <c r="M21" s="37"/>
      <c r="N21" s="37"/>
      <c r="O21" s="37"/>
      <c r="P21" s="37"/>
      <c r="Q21" s="37"/>
      <c r="R21" s="37"/>
      <c r="S21" s="37"/>
      <c r="T21" s="37"/>
      <c r="U21" s="37"/>
      <c r="V21" s="37"/>
      <c r="W21" s="37"/>
      <c r="X21" s="37"/>
      <c r="Y21" s="37"/>
      <c r="Z21" s="37"/>
    </row>
    <row r="22" ht="15.75" customHeight="1">
      <c r="A22" s="37"/>
      <c r="B22" s="37"/>
      <c r="C22" s="37"/>
      <c r="D22" s="37"/>
      <c r="E22" s="37"/>
      <c r="F22" s="37"/>
      <c r="G22" s="37"/>
      <c r="H22" s="37"/>
      <c r="I22" s="37"/>
      <c r="J22" s="37"/>
      <c r="K22" s="37"/>
      <c r="L22" s="37"/>
      <c r="M22" s="37"/>
      <c r="N22" s="37"/>
      <c r="O22" s="37"/>
      <c r="P22" s="37"/>
      <c r="Q22" s="37"/>
      <c r="R22" s="37"/>
      <c r="S22" s="37"/>
      <c r="T22" s="37"/>
      <c r="U22" s="37"/>
      <c r="V22" s="37"/>
      <c r="W22" s="37"/>
      <c r="X22" s="37"/>
      <c r="Y22" s="37"/>
      <c r="Z22" s="37"/>
    </row>
    <row r="23" ht="15.75" customHeight="1">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row>
    <row r="24" ht="15.75" customHeight="1">
      <c r="A24" s="37"/>
      <c r="B24" s="37"/>
      <c r="C24" s="37"/>
      <c r="D24" s="37"/>
      <c r="E24" s="37"/>
      <c r="F24" s="37"/>
      <c r="G24" s="37"/>
      <c r="H24" s="37"/>
      <c r="I24" s="37"/>
      <c r="J24" s="37"/>
      <c r="K24" s="37"/>
      <c r="L24" s="37"/>
      <c r="M24" s="37"/>
      <c r="N24" s="37"/>
      <c r="O24" s="37"/>
      <c r="P24" s="37"/>
      <c r="Q24" s="37"/>
      <c r="R24" s="37"/>
      <c r="S24" s="37"/>
      <c r="T24" s="37"/>
      <c r="U24" s="37"/>
      <c r="V24" s="37"/>
      <c r="W24" s="37"/>
      <c r="X24" s="37"/>
      <c r="Y24" s="37"/>
      <c r="Z24" s="37"/>
    </row>
    <row r="25" ht="15.75" customHeight="1">
      <c r="A25" s="37"/>
      <c r="B25" s="37"/>
      <c r="C25" s="37"/>
      <c r="D25" s="37"/>
      <c r="E25" s="37"/>
      <c r="F25" s="37"/>
      <c r="G25" s="37"/>
      <c r="H25" s="37"/>
      <c r="I25" s="37"/>
      <c r="J25" s="37"/>
      <c r="K25" s="37"/>
      <c r="L25" s="37"/>
      <c r="M25" s="37"/>
      <c r="N25" s="37"/>
      <c r="O25" s="37"/>
      <c r="P25" s="37"/>
      <c r="Q25" s="37"/>
      <c r="R25" s="37"/>
      <c r="S25" s="37"/>
      <c r="T25" s="37"/>
      <c r="U25" s="37"/>
      <c r="V25" s="37"/>
      <c r="W25" s="37"/>
      <c r="X25" s="37"/>
      <c r="Y25" s="37"/>
      <c r="Z25" s="37"/>
    </row>
    <row r="26" ht="15.75" customHeight="1">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row>
    <row r="27" ht="15.75" customHeight="1">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row>
    <row r="28" ht="15.75" customHeight="1">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row>
    <row r="29" ht="15.75" customHeight="1">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row>
    <row r="30" ht="15.75" customHeight="1">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row>
    <row r="31" ht="15.75" customHeight="1">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row>
    <row r="32" ht="15.75" customHeight="1">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row>
    <row r="33" ht="15.75" customHeight="1">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row>
    <row r="34" ht="15.75" customHeight="1">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row>
    <row r="35" ht="15.75" customHeight="1">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row>
    <row r="36" ht="15.75" customHeight="1">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row>
    <row r="37" ht="15.75" customHeight="1">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row>
    <row r="38" ht="15.75" customHeight="1">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row>
    <row r="39" ht="15.75" customHeight="1">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row>
    <row r="40" ht="15.75" customHeight="1">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row>
    <row r="41" ht="15.75" customHeight="1">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row>
    <row r="42" ht="15.75" customHeight="1">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row>
    <row r="43" ht="15.75" customHeight="1">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row>
    <row r="44" ht="15.75" customHeight="1">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row>
    <row r="45" ht="15.75"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row>
    <row r="46" ht="15.75"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row>
    <row r="47" ht="15.75" customHeight="1">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row>
    <row r="48" ht="15.75" customHeight="1">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row>
    <row r="49" ht="15.75" customHeight="1">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row>
    <row r="50" ht="15.75" customHeight="1">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row>
    <row r="51" ht="15.75" customHeight="1">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row>
    <row r="52" ht="15.75" customHeight="1">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row>
    <row r="53" ht="15.75" customHeight="1">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row>
    <row r="54" ht="15.75" customHeight="1">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ht="15.75" customHeight="1">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ht="15.75" customHeight="1">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ht="15.75"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ht="15.75" customHeight="1">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row>
    <row r="59" ht="15.75" customHeight="1">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ht="15.75" customHeight="1">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ht="15.75" customHeight="1">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ht="15.75" customHeight="1">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ht="15.75" customHeight="1">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ht="15.75" customHeight="1">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ht="15.75" customHeight="1">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ht="15.75" customHeight="1">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ht="15.75" customHeight="1">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ht="15.75" customHeight="1">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ht="15.75"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ht="15.75" customHeight="1">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ht="15.75" customHeight="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ht="15.75" customHeight="1">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ht="15.75" customHeight="1">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ht="15.75" customHeight="1">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ht="15.75" customHeight="1">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ht="15.75" customHeight="1">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ht="15.75" customHeight="1">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ht="15.75" customHeight="1">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ht="15.75" customHeight="1">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ht="15.75"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ht="15.75" customHeight="1">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ht="15.75" customHeight="1">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ht="15.75" customHeight="1">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ht="15.75" customHeight="1">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ht="15.75" customHeight="1">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ht="15.75" customHeight="1">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ht="15.75" customHeight="1">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ht="15.75" customHeight="1">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ht="15.75" customHeight="1">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ht="15.75" customHeight="1">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ht="15.75"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ht="15.75" customHeight="1">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ht="15.75" customHeight="1">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ht="15.75" customHeight="1">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ht="15.75" customHeight="1">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ht="15.75" customHeight="1">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ht="15.75" customHeight="1">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ht="15.75" customHeight="1">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ht="15.75" customHeight="1">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ht="15.75" customHeight="1">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ht="15.75" customHeight="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ht="15.75"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ht="15.75" customHeight="1">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ht="15.75" customHeight="1">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ht="15.75" customHeight="1">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ht="15.75" customHeight="1">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ht="15.75" customHeight="1">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ht="15.75" customHeight="1">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ht="15.75" customHeight="1">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ht="15.75" customHeight="1">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ht="15.75" customHeight="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ht="15.75" customHeight="1">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ht="15.75" customHeigh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ht="15.75" customHeigh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ht="15.75" customHeigh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ht="15.75" customHeigh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ht="15.75" customHeigh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ht="15.75" customHeight="1">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ht="15.75" customHeight="1">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ht="15.75" customHeight="1">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ht="15.75" customHeight="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ht="15.75" customHeight="1">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ht="15.75" customHeight="1">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ht="15.75" customHeight="1">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ht="15.75" customHeight="1">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ht="15.75" customHeight="1">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ht="15.75" customHeight="1">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ht="15.75" customHeight="1">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ht="15.75" customHeight="1">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ht="15.75" customHeight="1">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ht="15.75" customHeight="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ht="15.75" customHeight="1">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ht="15.75" customHeight="1">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ht="15.75" customHeight="1">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ht="15.75" customHeight="1">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ht="15.75" customHeight="1">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ht="15.75" customHeight="1">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ht="15.75" customHeight="1">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ht="15.75" customHeight="1">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ht="15.75" customHeigh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ht="15.75" customHeight="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ht="15.75" customHeight="1">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ht="15.75" customHeight="1">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ht="15.75" customHeight="1">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ht="15.75" customHeight="1">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ht="15.75" customHeight="1">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ht="15.75" customHeight="1">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ht="15.75" customHeight="1">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ht="15.75" customHeight="1">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ht="15.75" customHeight="1">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ht="15.75"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ht="15.75" customHeight="1">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ht="15.75" customHeight="1">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ht="15.75" customHeight="1">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ht="15.75" customHeight="1">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ht="15.75" customHeight="1">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ht="15.75" customHeight="1">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ht="15.75" customHeight="1">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ht="15.75" customHeight="1">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ht="15.75" customHeight="1">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ht="15.75" customHeight="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ht="15.75" customHeight="1">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ht="15.75" customHeight="1">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ht="15.75" customHeight="1">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ht="15.75" customHeight="1">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ht="15.75" customHeight="1">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ht="15.75" customHeight="1">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ht="15.75" customHeight="1">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ht="15.75" customHeight="1">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ht="15.75" customHeight="1">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ht="15.75" customHeight="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ht="15.75" customHeight="1">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ht="15.75" customHeight="1">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ht="15.75" customHeight="1">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ht="15.75" customHeight="1">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ht="15.75" customHeight="1">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ht="15.75" customHeight="1">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ht="15.75" customHeigh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ht="15.75" customHeight="1">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ht="15.75" customHeight="1">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ht="15.75" customHeight="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ht="15.75" customHeight="1">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ht="15.75" customHeight="1">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ht="15.75" customHeight="1">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ht="15.75" customHeight="1">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ht="15.75" customHeight="1">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ht="15.75" customHeight="1">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ht="15.75" customHeight="1">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ht="15.75"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ht="15.75" customHeight="1">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ht="15.75" customHeight="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ht="15.75" customHeight="1">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ht="15.75" customHeight="1">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ht="15.75" customHeight="1">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ht="15.75" customHeight="1">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ht="15.75" customHeight="1">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ht="15.75" customHeight="1">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ht="15.75" customHeight="1">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ht="15.75" customHeight="1">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ht="15.75"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ht="15.75" customHeight="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ht="15.75" customHeight="1">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ht="15.75" customHeight="1">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ht="15.75" customHeight="1">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ht="15.75" customHeight="1">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ht="15.75" customHeight="1">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ht="15.75" customHeight="1">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ht="15.75" customHeight="1">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ht="15.75" customHeight="1">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ht="15.75" customHeight="1">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ht="15.75" customHeight="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ht="15.75" customHeight="1">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ht="15.75" customHeight="1">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ht="15.75" customHeight="1">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ht="15.75" customHeight="1">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ht="15.75" customHeight="1">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ht="15.75" customHeight="1">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ht="15.75" customHeight="1">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ht="15.75" customHeight="1">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ht="15.75" customHeight="1">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scale="68" orientation="portrait"/>
  <drawing r:id="rId1"/>
</worksheet>
</file>